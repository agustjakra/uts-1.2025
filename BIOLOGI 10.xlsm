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<sst xmlns="http://schemas.openxmlformats.org/spreadsheetml/2006/main" count="1051" uniqueCount="527">
  <si>
    <t>Server :</t>
  </si>
  <si>
    <t>A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</si>
  <si>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</si>
  <si>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</si>
  <si>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</si>
  <si>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</si>
  <si>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</si>
  <si>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</si>
  <si>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</si>
  <si>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</si>
  <si>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</si>
  <si>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B</t>
  </si>
  <si>
    <t>C</t>
  </si>
  <si>
    <t>D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</si>
  <si>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</si>
  <si>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</si>
  <si>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</si>
  <si>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</si>
  <si>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</si>
  <si>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</si>
  <si>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</si>
  <si>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</si>
  <si>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</si>
  <si>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</si>
  <si>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</si>
  <si>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</si>
  <si>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</si>
  <si>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</si>
  <si>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</si>
  <si>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</si>
  <si>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</si>
  <si>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</si>
  <si>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</si>
  <si>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</si>
  <si>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</si>
  <si>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</si>
  <si>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</si>
  <si>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</si>
  <si>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</si>
  <si>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</si>
  <si>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</si>
  <si>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</si>
  <si>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</si>
  <si>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</si>
  <si>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</si>
  <si>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</si>
  <si>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</si>
  <si>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</si>
  <si>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</si>
  <si>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</si>
  <si>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</si>
  <si>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</si>
  <si>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</si>
  <si>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</si>
  <si>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</si>
  <si>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</si>
  <si>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</si>
  <si>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</si>
  <si>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</si>
  <si>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</si>
  <si>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</si>
  <si>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</si>
  <si>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</si>
  <si>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BIOLOGI 10</t>
  </si>
  <si>
    <t>X</t>
  </si>
  <si>
    <t>E</t>
  </si>
  <si>
    <t>Adenovirus</t>
  </si>
  <si>
    <t>Picornavirus</t>
  </si>
  <si>
    <t>NCD</t>
  </si>
  <si>
    <t>Eklifase</t>
  </si>
  <si>
    <t>Lisis</t>
  </si>
  <si>
    <t>S</t>
  </si>
  <si>
    <t>-B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</si>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</sst>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6" zoomScale="90" zoomScaleNormal="90" workbookViewId="0">
      <selection activeCell="D8" sqref="D8:E8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54</v>
      </c>
      <c r="E1" s="25"/>
      <c r="F1" s="25"/>
      <c r="G1" s="25"/>
      <c r="H1" s="25"/>
      <c r="I1" s="11"/>
      <c r="J1" s="75" t="s">
        <v>35</v>
      </c>
      <c r="K1" s="75" t="s">
        <v>37</v>
      </c>
      <c r="L1" s="75" t="s">
        <v>38</v>
      </c>
      <c r="M1" s="75" t="s">
        <v>36</v>
      </c>
      <c r="N1" s="75" t="s">
        <v>41</v>
      </c>
      <c r="O1" s="75" t="s">
        <v>40</v>
      </c>
      <c r="P1" s="11"/>
    </row>
    <row r="2" spans="2:21" ht="21" x14ac:dyDescent="0.35">
      <c r="B2" s="9"/>
      <c r="C2" s="14" t="s">
        <v>2</v>
      </c>
      <c r="D2" s="31" t="s">
        <v>63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3</v>
      </c>
      <c r="D3" s="32" t="str">
        <f>D2</f>
        <v>BIOLOGI 10</v>
      </c>
      <c r="E3" s="12"/>
      <c r="F3" s="33" t="s">
        <v>39</v>
      </c>
      <c r="G3" s="77">
        <v>12345</v>
      </c>
      <c r="H3" s="77"/>
      <c r="I3" s="11"/>
      <c r="J3" s="9">
        <v>1</v>
      </c>
      <c r="K3" s="36" t="s">
        <v>64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4</v>
      </c>
      <c r="D4" s="34" t="s">
        <v>55</v>
      </c>
      <c r="E4" s="12"/>
      <c r="F4" s="12"/>
      <c r="G4" s="12"/>
      <c r="H4" s="12"/>
      <c r="I4" s="11"/>
      <c r="J4" s="9">
        <f>J3+1</f>
        <v>2</v>
      </c>
      <c r="K4" s="36" t="s">
        <v>65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5</v>
      </c>
      <c r="D5" s="34" t="str">
        <f>D3</f>
        <v>BIOLOGI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13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6</v>
      </c>
      <c r="D6" s="35" t="s">
        <v>43</v>
      </c>
      <c r="E6" s="15" t="s">
        <v>7</v>
      </c>
      <c r="F6" s="35" t="s">
        <v>56</v>
      </c>
      <c r="G6" s="15" t="s">
        <v>7</v>
      </c>
      <c r="H6" s="22" t="s">
        <v>53</v>
      </c>
      <c r="I6" s="11"/>
      <c r="J6" s="9">
        <f t="shared" si="0"/>
        <v>4</v>
      </c>
      <c r="K6" s="36" t="s">
        <v>1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8</v>
      </c>
      <c r="D7" s="35" t="s">
        <v>57</v>
      </c>
      <c r="E7" s="15" t="s">
        <v>9</v>
      </c>
      <c r="F7" s="35" t="s">
        <v>34</v>
      </c>
      <c r="G7" s="17"/>
      <c r="H7" s="18"/>
      <c r="I7" s="11"/>
      <c r="J7" s="9">
        <f t="shared" si="0"/>
        <v>5</v>
      </c>
      <c r="K7" s="36" t="s">
        <v>11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10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 t="s">
        <v>12</v>
      </c>
      <c r="L8" s="29">
        <v>2</v>
      </c>
      <c r="M8" s="9"/>
      <c r="N8" s="9"/>
      <c r="O8" s="27"/>
      <c r="P8" s="11"/>
      <c r="R8" s="70" t="s">
        <v>52</v>
      </c>
      <c r="S8" s="71"/>
      <c r="T8" s="71"/>
      <c r="U8" s="72"/>
    </row>
    <row r="9" spans="2:21" x14ac:dyDescent="0.25">
      <c r="B9" s="9"/>
      <c r="C9" s="14" t="s">
        <v>25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13</v>
      </c>
      <c r="L9" s="29">
        <v>2</v>
      </c>
      <c r="M9" s="9"/>
      <c r="N9" s="9"/>
      <c r="O9" s="27"/>
      <c r="P9" s="11"/>
      <c r="R9" s="73" t="s">
        <v>58</v>
      </c>
      <c r="S9" s="74"/>
      <c r="T9" s="74"/>
      <c r="U9" s="74"/>
    </row>
    <row r="10" spans="2:21" x14ac:dyDescent="0.25">
      <c r="B10" s="9"/>
      <c r="C10" s="14" t="s">
        <v>26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65</v>
      </c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30</v>
      </c>
      <c r="D11" s="9">
        <v>1</v>
      </c>
      <c r="E11" s="15" t="s">
        <v>31</v>
      </c>
      <c r="F11" s="9">
        <v>1</v>
      </c>
      <c r="G11" s="9"/>
      <c r="H11" s="12"/>
      <c r="J11" s="9">
        <f t="shared" si="0"/>
        <v>9</v>
      </c>
      <c r="K11" s="36" t="s">
        <v>1</v>
      </c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 t="s">
        <v>11</v>
      </c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 t="s">
        <v>12</v>
      </c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45</v>
      </c>
      <c r="D14" s="78"/>
      <c r="E14" s="78"/>
      <c r="F14" s="41"/>
      <c r="G14" s="41"/>
      <c r="H14" s="42"/>
      <c r="J14" s="9">
        <f t="shared" si="0"/>
        <v>12</v>
      </c>
      <c r="K14" s="36" t="s">
        <v>13</v>
      </c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46</v>
      </c>
      <c r="D15" s="17" t="s">
        <v>47</v>
      </c>
      <c r="E15" s="17" t="s">
        <v>48</v>
      </c>
      <c r="G15" s="21"/>
      <c r="J15" s="9">
        <f t="shared" si="0"/>
        <v>13</v>
      </c>
      <c r="K15" s="36" t="s">
        <v>65</v>
      </c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 t="s">
        <v>1</v>
      </c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 t="s">
        <v>11</v>
      </c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 t="s">
        <v>12</v>
      </c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64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64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64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64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64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64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64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64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64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64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64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66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67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68</v>
      </c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69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70</v>
      </c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11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11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71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71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11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72</v>
      </c>
      <c r="L40" s="29">
        <v>0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 t="s">
        <v>72</v>
      </c>
      <c r="L41" s="29">
        <v>0</v>
      </c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 t="s">
        <v>11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 t="s">
        <v>72</v>
      </c>
      <c r="L43" s="29">
        <v>0</v>
      </c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 t="s">
        <v>11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72</v>
      </c>
      <c r="L45" s="29">
        <v>0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11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 t="s">
        <v>11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 t="s">
        <v>72</v>
      </c>
      <c r="L48" s="29">
        <v>0</v>
      </c>
      <c r="M48" s="9"/>
      <c r="N48" s="9"/>
      <c r="O48" s="27"/>
    </row>
    <row r="49" spans="3:15" x14ac:dyDescent="0.25">
      <c r="J49" s="59">
        <f t="shared" si="0"/>
        <v>18005</v>
      </c>
      <c r="K49" s="69" t="s">
        <v>72</v>
      </c>
      <c r="L49" s="29">
        <v>0</v>
      </c>
      <c r="M49" s="9"/>
      <c r="N49" s="9"/>
      <c r="O49" s="27"/>
    </row>
    <row r="50" spans="3:15" x14ac:dyDescent="0.25">
      <c r="J50" s="59">
        <v>19001</v>
      </c>
      <c r="K50" s="69" t="s">
        <v>72</v>
      </c>
      <c r="L50" s="29">
        <v>0</v>
      </c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72</v>
      </c>
      <c r="L51" s="29">
        <v>0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 t="s">
        <v>11</v>
      </c>
      <c r="L52" s="29">
        <v>1</v>
      </c>
      <c r="M52" s="9"/>
      <c r="N52" s="9"/>
      <c r="O52" s="27"/>
    </row>
    <row r="53" spans="3:15" x14ac:dyDescent="0.25">
      <c r="J53" s="59">
        <f t="shared" si="0"/>
        <v>19004</v>
      </c>
      <c r="K53" s="36" t="s">
        <v>11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 t="s">
        <v>72</v>
      </c>
      <c r="L54" s="29">
        <v>0</v>
      </c>
      <c r="M54" s="9"/>
      <c r="N54" s="9"/>
      <c r="O54" s="27"/>
    </row>
    <row r="55" spans="3:15" x14ac:dyDescent="0.25">
      <c r="J55" s="59">
        <v>20001</v>
      </c>
      <c r="K55" s="69" t="s">
        <v>72</v>
      </c>
      <c r="L55" s="29">
        <v>0</v>
      </c>
      <c r="M55" s="9"/>
      <c r="N55" s="9"/>
      <c r="O55" s="27"/>
    </row>
    <row r="56" spans="3:15" x14ac:dyDescent="0.25">
      <c r="J56" s="59">
        <f t="shared" si="0"/>
        <v>20002</v>
      </c>
      <c r="K56" s="36" t="s">
        <v>11</v>
      </c>
      <c r="L56" s="29">
        <v>1</v>
      </c>
      <c r="M56" s="9"/>
      <c r="N56" s="9"/>
      <c r="O56" s="27"/>
    </row>
    <row r="57" spans="3:15" x14ac:dyDescent="0.25">
      <c r="J57" s="59">
        <f t="shared" si="0"/>
        <v>20003</v>
      </c>
      <c r="K57" s="36" t="s">
        <v>11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 t="s">
        <v>72</v>
      </c>
      <c r="L58" s="29">
        <v>0</v>
      </c>
      <c r="M58" s="9"/>
      <c r="N58" s="9"/>
      <c r="O58" s="27"/>
    </row>
    <row r="59" spans="3:15" x14ac:dyDescent="0.25">
      <c r="J59" s="59">
        <f t="shared" si="0"/>
        <v>20005</v>
      </c>
      <c r="K59" s="69" t="s">
        <v>72</v>
      </c>
      <c r="L59" s="29">
        <v>0</v>
      </c>
      <c r="M59" s="9"/>
      <c r="N59" s="9"/>
      <c r="O59" s="27"/>
    </row>
    <row r="60" spans="3:15" x14ac:dyDescent="0.25">
      <c r="J60" s="59">
        <v>21001</v>
      </c>
      <c r="K60" s="69" t="s">
        <v>72</v>
      </c>
      <c r="L60" s="29">
        <v>0</v>
      </c>
      <c r="M60" s="9"/>
      <c r="N60" s="9"/>
      <c r="O60" s="27"/>
    </row>
    <row r="61" spans="3:15" x14ac:dyDescent="0.25">
      <c r="J61" s="59">
        <f t="shared" si="0"/>
        <v>21002</v>
      </c>
      <c r="K61" s="27" t="s">
        <v>11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 t="s">
        <v>72</v>
      </c>
      <c r="L62" s="29">
        <v>0</v>
      </c>
      <c r="M62" s="9"/>
      <c r="N62" s="9"/>
      <c r="O62" s="27"/>
    </row>
    <row r="63" spans="3:15" x14ac:dyDescent="0.25">
      <c r="J63" s="59">
        <f t="shared" si="0"/>
        <v>21004</v>
      </c>
      <c r="K63" s="27" t="s">
        <v>11</v>
      </c>
      <c r="L63" s="59">
        <v>1</v>
      </c>
      <c r="M63" s="9"/>
      <c r="N63" s="9"/>
      <c r="O63" s="27"/>
    </row>
    <row r="64" spans="3:15" x14ac:dyDescent="0.25">
      <c r="J64" s="59">
        <f t="shared" si="0"/>
        <v>21005</v>
      </c>
      <c r="K64" s="69" t="s">
        <v>72</v>
      </c>
      <c r="L64" s="29">
        <v>0</v>
      </c>
    </row>
    <row r="65" spans="10:12" x14ac:dyDescent="0.25">
      <c r="J65" s="59">
        <v>22001</v>
      </c>
      <c r="K65" s="69" t="s">
        <v>72</v>
      </c>
      <c r="L65" s="29">
        <v>0</v>
      </c>
    </row>
    <row r="66" spans="10:12" x14ac:dyDescent="0.25">
      <c r="J66" s="59">
        <f t="shared" ref="J66:J94" si="1">J65+1</f>
        <v>22002</v>
      </c>
      <c r="K66" s="27" t="s">
        <v>11</v>
      </c>
      <c r="L66" s="59">
        <v>1</v>
      </c>
    </row>
    <row r="67" spans="10:12" x14ac:dyDescent="0.25">
      <c r="J67" s="59">
        <f t="shared" si="1"/>
        <v>22003</v>
      </c>
      <c r="K67" s="27" t="s">
        <v>11</v>
      </c>
      <c r="L67" s="59">
        <v>1</v>
      </c>
    </row>
    <row r="68" spans="10:12" x14ac:dyDescent="0.25">
      <c r="J68" s="59">
        <f t="shared" si="1"/>
        <v>22004</v>
      </c>
      <c r="K68" s="69" t="s">
        <v>72</v>
      </c>
      <c r="L68" s="29">
        <v>0</v>
      </c>
    </row>
    <row r="69" spans="10:12" x14ac:dyDescent="0.25">
      <c r="J69" s="59">
        <f t="shared" si="1"/>
        <v>22005</v>
      </c>
      <c r="K69" s="69" t="s">
        <v>72</v>
      </c>
      <c r="L69" s="29">
        <v>0</v>
      </c>
    </row>
    <row r="70" spans="10:12" x14ac:dyDescent="0.25">
      <c r="J70" s="59">
        <v>23001</v>
      </c>
      <c r="K70" s="69" t="s">
        <v>72</v>
      </c>
      <c r="L70" s="29">
        <v>0</v>
      </c>
    </row>
    <row r="71" spans="10:12" x14ac:dyDescent="0.25">
      <c r="J71" s="59">
        <f t="shared" si="1"/>
        <v>23002</v>
      </c>
      <c r="K71" s="69" t="s">
        <v>72</v>
      </c>
      <c r="L71" s="29">
        <v>0</v>
      </c>
    </row>
    <row r="72" spans="10:12" x14ac:dyDescent="0.25">
      <c r="J72" s="59">
        <f t="shared" si="1"/>
        <v>23003</v>
      </c>
      <c r="K72" s="27" t="s">
        <v>11</v>
      </c>
      <c r="L72" s="59">
        <v>1</v>
      </c>
    </row>
    <row r="73" spans="10:12" x14ac:dyDescent="0.25">
      <c r="J73" s="59">
        <f t="shared" si="1"/>
        <v>23004</v>
      </c>
      <c r="K73" s="69" t="s">
        <v>72</v>
      </c>
      <c r="L73" s="29">
        <v>0</v>
      </c>
    </row>
    <row r="74" spans="10:12" x14ac:dyDescent="0.25">
      <c r="J74" s="59">
        <f t="shared" si="1"/>
        <v>23005</v>
      </c>
      <c r="K74" s="27" t="s">
        <v>11</v>
      </c>
      <c r="L74" s="59">
        <v>1</v>
      </c>
    </row>
    <row r="75" spans="10:12" x14ac:dyDescent="0.25">
      <c r="J75" s="59">
        <v>24001</v>
      </c>
      <c r="K75" s="27" t="s">
        <v>11</v>
      </c>
      <c r="L75" s="59">
        <v>1</v>
      </c>
    </row>
    <row r="76" spans="10:12" x14ac:dyDescent="0.25">
      <c r="J76" s="59">
        <f t="shared" si="1"/>
        <v>24002</v>
      </c>
      <c r="K76" s="27" t="s">
        <v>11</v>
      </c>
      <c r="L76" s="59">
        <v>1</v>
      </c>
    </row>
    <row r="77" spans="10:12" x14ac:dyDescent="0.25">
      <c r="J77" s="59">
        <f t="shared" si="1"/>
        <v>24003</v>
      </c>
      <c r="K77" s="69" t="s">
        <v>72</v>
      </c>
      <c r="L77" s="29">
        <v>0</v>
      </c>
    </row>
    <row r="78" spans="10:12" x14ac:dyDescent="0.25">
      <c r="J78" s="59">
        <f t="shared" si="1"/>
        <v>24004</v>
      </c>
      <c r="K78" s="69" t="s">
        <v>72</v>
      </c>
      <c r="L78" s="29">
        <v>0</v>
      </c>
    </row>
    <row r="79" spans="10:12" x14ac:dyDescent="0.25">
      <c r="J79" s="59">
        <f t="shared" si="1"/>
        <v>24005</v>
      </c>
      <c r="K79" s="69" t="s">
        <v>72</v>
      </c>
      <c r="L79" s="29">
        <v>0</v>
      </c>
    </row>
    <row r="80" spans="10:12" x14ac:dyDescent="0.25">
      <c r="J80" s="59">
        <v>25001</v>
      </c>
      <c r="K80" s="27" t="s">
        <v>11</v>
      </c>
      <c r="L80" s="59">
        <v>1</v>
      </c>
    </row>
    <row r="81" spans="10:12" x14ac:dyDescent="0.25">
      <c r="J81" s="59">
        <f t="shared" si="1"/>
        <v>25002</v>
      </c>
      <c r="K81" s="27" t="s">
        <v>11</v>
      </c>
      <c r="L81" s="59">
        <v>1</v>
      </c>
    </row>
    <row r="82" spans="10:12" x14ac:dyDescent="0.25">
      <c r="J82" s="59">
        <f t="shared" si="1"/>
        <v>25003</v>
      </c>
      <c r="K82" s="69" t="s">
        <v>72</v>
      </c>
      <c r="L82" s="29">
        <v>0</v>
      </c>
    </row>
    <row r="83" spans="10:12" x14ac:dyDescent="0.25">
      <c r="J83" s="59">
        <f t="shared" si="1"/>
        <v>25004</v>
      </c>
      <c r="K83" s="69" t="s">
        <v>72</v>
      </c>
      <c r="L83" s="29">
        <v>0</v>
      </c>
    </row>
    <row r="84" spans="10:12" x14ac:dyDescent="0.25">
      <c r="J84" s="59">
        <f t="shared" si="1"/>
        <v>25005</v>
      </c>
      <c r="K84" s="69" t="s">
        <v>72</v>
      </c>
      <c r="L84" s="29">
        <v>0</v>
      </c>
    </row>
    <row r="85" spans="10:12" x14ac:dyDescent="0.25">
      <c r="J85" s="59">
        <v>26001</v>
      </c>
      <c r="K85" s="69" t="s">
        <v>72</v>
      </c>
      <c r="L85" s="29">
        <v>0</v>
      </c>
    </row>
    <row r="86" spans="10:12" x14ac:dyDescent="0.25">
      <c r="J86" s="59">
        <f t="shared" si="1"/>
        <v>26002</v>
      </c>
      <c r="K86" s="27" t="s">
        <v>11</v>
      </c>
      <c r="L86" s="59">
        <v>1</v>
      </c>
    </row>
    <row r="87" spans="10:12" x14ac:dyDescent="0.25">
      <c r="J87" s="59">
        <f t="shared" si="1"/>
        <v>26003</v>
      </c>
      <c r="K87" s="27" t="s">
        <v>11</v>
      </c>
      <c r="L87" s="59">
        <v>1</v>
      </c>
    </row>
    <row r="88" spans="10:12" x14ac:dyDescent="0.25">
      <c r="J88" s="59">
        <f t="shared" si="1"/>
        <v>26004</v>
      </c>
      <c r="K88" s="69" t="s">
        <v>72</v>
      </c>
      <c r="L88" s="29">
        <v>0</v>
      </c>
    </row>
    <row r="89" spans="10:12" x14ac:dyDescent="0.25">
      <c r="J89" s="59">
        <f t="shared" si="1"/>
        <v>26005</v>
      </c>
      <c r="K89" s="69" t="s">
        <v>72</v>
      </c>
      <c r="L89" s="29">
        <v>0</v>
      </c>
    </row>
    <row r="90" spans="10:12" x14ac:dyDescent="0.25">
      <c r="J90" s="59">
        <v>27001</v>
      </c>
      <c r="K90" s="27" t="s">
        <v>65</v>
      </c>
      <c r="L90" s="59">
        <v>3</v>
      </c>
    </row>
    <row r="91" spans="10:12" x14ac:dyDescent="0.25">
      <c r="J91" s="59">
        <f t="shared" si="1"/>
        <v>27002</v>
      </c>
      <c r="K91" s="27" t="s">
        <v>1</v>
      </c>
      <c r="L91" s="59">
        <v>3</v>
      </c>
    </row>
    <row r="92" spans="10:12" x14ac:dyDescent="0.25">
      <c r="J92" s="59">
        <f t="shared" si="1"/>
        <v>27003</v>
      </c>
      <c r="K92" s="27" t="s">
        <v>11</v>
      </c>
      <c r="L92" s="59">
        <v>3</v>
      </c>
    </row>
    <row r="93" spans="10:12" x14ac:dyDescent="0.25">
      <c r="J93" s="59">
        <f t="shared" si="1"/>
        <v>27004</v>
      </c>
      <c r="K93" s="27" t="s">
        <v>12</v>
      </c>
      <c r="L93" s="59">
        <v>3</v>
      </c>
    </row>
    <row r="94" spans="10:12" x14ac:dyDescent="0.25">
      <c r="J94" s="59">
        <f t="shared" si="1"/>
        <v>27005</v>
      </c>
      <c r="K94" s="27" t="s">
        <v>13</v>
      </c>
      <c r="L94" s="59">
        <v>3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15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16</v>
      </c>
      <c r="C3" s="23" t="s">
        <v>14</v>
      </c>
      <c r="D3" s="53" t="s">
        <v>17</v>
      </c>
      <c r="E3" s="23" t="s">
        <v>18</v>
      </c>
      <c r="F3" s="24" t="s">
        <v>32</v>
      </c>
      <c r="G3" s="23" t="s">
        <v>33</v>
      </c>
      <c r="H3" s="23" t="s">
        <v>28</v>
      </c>
      <c r="I3" s="54" t="s">
        <v>29</v>
      </c>
      <c r="J3" s="28"/>
      <c r="K3" s="55" t="s">
        <v>23</v>
      </c>
      <c r="L3" s="23" t="s">
        <v>24</v>
      </c>
    </row>
    <row r="4" spans="2:17" ht="18.75" x14ac:dyDescent="0.3">
      <c r="B4" s="84">
        <v>1</v>
      </c>
      <c r="C4" s="84">
        <v>1</v>
      </c>
      <c r="D4" s="85" t="s">
        <v>59</v>
      </c>
      <c r="E4" s="84">
        <v>1</v>
      </c>
      <c r="F4" s="84" t="s">
        <v>60</v>
      </c>
      <c r="G4" s="84" t="s">
        <v>61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73</v>
      </c>
      <c r="E5" s="84" t="s">
        <v>74</v>
      </c>
      <c r="F5" s="84" t="s">
        <v>60</v>
      </c>
      <c r="G5" s="84" t="s">
        <v>61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75</v>
      </c>
      <c r="E6" s="84" t="s">
        <v>76</v>
      </c>
      <c r="F6" s="84" t="s">
        <v>60</v>
      </c>
      <c r="G6" s="84" t="s">
        <v>61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77</v>
      </c>
      <c r="E7" s="84" t="s">
        <v>78</v>
      </c>
      <c r="F7" s="84" t="s">
        <v>60</v>
      </c>
      <c r="G7" s="84" t="s">
        <v>61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79</v>
      </c>
      <c r="E8" s="84" t="s">
        <v>80</v>
      </c>
      <c r="F8" s="84" t="s">
        <v>60</v>
      </c>
      <c r="G8" s="84" t="s">
        <v>61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81</v>
      </c>
      <c r="E9" s="84" t="s">
        <v>82</v>
      </c>
      <c r="F9" s="84" t="s">
        <v>60</v>
      </c>
      <c r="G9" s="84" t="s">
        <v>61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44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83</v>
      </c>
      <c r="E10" s="84" t="s">
        <v>84</v>
      </c>
      <c r="F10" s="84" t="s">
        <v>60</v>
      </c>
      <c r="G10" s="84" t="s">
        <v>61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85</v>
      </c>
      <c r="E11" s="84" t="s">
        <v>86</v>
      </c>
      <c r="F11" s="84" t="s">
        <v>60</v>
      </c>
      <c r="G11" s="84" t="s">
        <v>61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42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87</v>
      </c>
      <c r="E12" s="84" t="s">
        <v>88</v>
      </c>
      <c r="F12" s="84" t="s">
        <v>60</v>
      </c>
      <c r="G12" s="84" t="s">
        <v>61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89</v>
      </c>
      <c r="E13" s="84" t="s">
        <v>90</v>
      </c>
      <c r="F13" s="84" t="s">
        <v>60</v>
      </c>
      <c r="G13" s="84" t="s">
        <v>61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50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91</v>
      </c>
      <c r="E14" s="84" t="s">
        <v>92</v>
      </c>
      <c r="F14" s="84" t="s">
        <v>60</v>
      </c>
      <c r="G14" s="84" t="s">
        <v>61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93</v>
      </c>
      <c r="E15" s="84" t="s">
        <v>94</v>
      </c>
      <c r="F15" s="84" t="s">
        <v>60</v>
      </c>
      <c r="G15" s="84" t="s">
        <v>61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51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95</v>
      </c>
      <c r="E16" s="84" t="s">
        <v>96</v>
      </c>
      <c r="F16" s="84" t="s">
        <v>60</v>
      </c>
      <c r="G16" s="84" t="s">
        <v>61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97</v>
      </c>
      <c r="E17" s="84" t="s">
        <v>98</v>
      </c>
      <c r="F17" s="84" t="s">
        <v>60</v>
      </c>
      <c r="G17" s="84" t="s">
        <v>61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99</v>
      </c>
      <c r="E18" s="84" t="s">
        <v>100</v>
      </c>
      <c r="F18" s="84" t="s">
        <v>60</v>
      </c>
      <c r="G18" s="84" t="s">
        <v>61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101</v>
      </c>
      <c r="E19" s="84" t="s">
        <v>102</v>
      </c>
      <c r="F19" s="84" t="s">
        <v>60</v>
      </c>
      <c r="G19" s="84" t="s">
        <v>61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103</v>
      </c>
      <c r="E20" s="84" t="s">
        <v>104</v>
      </c>
      <c r="F20" s="84" t="s">
        <v>60</v>
      </c>
      <c r="G20" s="84" t="s">
        <v>61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105</v>
      </c>
      <c r="E21" s="84" t="s">
        <v>106</v>
      </c>
      <c r="F21" s="84" t="s">
        <v>60</v>
      </c>
      <c r="G21" s="84" t="s">
        <v>61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107</v>
      </c>
      <c r="E22" s="84" t="s">
        <v>108</v>
      </c>
      <c r="F22" s="84" t="s">
        <v>60</v>
      </c>
      <c r="G22" s="84" t="s">
        <v>61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109</v>
      </c>
      <c r="E23" s="84" t="s">
        <v>110</v>
      </c>
      <c r="F23" s="84" t="s">
        <v>60</v>
      </c>
      <c r="G23" s="84" t="s">
        <v>61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111</v>
      </c>
      <c r="E24" s="84" t="s">
        <v>112</v>
      </c>
      <c r="F24" s="84" t="s">
        <v>60</v>
      </c>
      <c r="G24" s="84" t="s">
        <v>61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113</v>
      </c>
      <c r="E25" s="84" t="s">
        <v>114</v>
      </c>
      <c r="F25" s="84" t="s">
        <v>60</v>
      </c>
      <c r="G25" s="84" t="s">
        <v>61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115</v>
      </c>
      <c r="E26" s="84" t="s">
        <v>116</v>
      </c>
      <c r="F26" s="84" t="s">
        <v>60</v>
      </c>
      <c r="G26" s="84" t="s">
        <v>61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117</v>
      </c>
      <c r="E27" s="84" t="s">
        <v>118</v>
      </c>
      <c r="F27" s="84" t="s">
        <v>60</v>
      </c>
      <c r="G27" s="84" t="s">
        <v>61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119</v>
      </c>
      <c r="E28" s="84" t="s">
        <v>120</v>
      </c>
      <c r="F28" s="84" t="s">
        <v>60</v>
      </c>
      <c r="G28" s="84" t="s">
        <v>61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121</v>
      </c>
      <c r="E29" s="84" t="s">
        <v>122</v>
      </c>
      <c r="F29" s="84" t="s">
        <v>60</v>
      </c>
      <c r="G29" s="84" t="s">
        <v>61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123</v>
      </c>
      <c r="E30" s="84" t="s">
        <v>124</v>
      </c>
      <c r="F30" s="84" t="s">
        <v>60</v>
      </c>
      <c r="G30" s="84" t="s">
        <v>61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125</v>
      </c>
      <c r="E31" s="84" t="s">
        <v>126</v>
      </c>
      <c r="F31" s="84" t="s">
        <v>60</v>
      </c>
      <c r="G31" s="84" t="s">
        <v>61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127</v>
      </c>
      <c r="E32" s="84" t="s">
        <v>128</v>
      </c>
      <c r="F32" s="84" t="s">
        <v>60</v>
      </c>
      <c r="G32" s="84" t="s">
        <v>61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129</v>
      </c>
      <c r="E33" s="84" t="s">
        <v>130</v>
      </c>
      <c r="F33" s="84" t="s">
        <v>60</v>
      </c>
      <c r="G33" s="84" t="s">
        <v>61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131</v>
      </c>
      <c r="E34" s="84" t="s">
        <v>132</v>
      </c>
      <c r="F34" s="84" t="s">
        <v>60</v>
      </c>
      <c r="G34" s="84" t="s">
        <v>61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133</v>
      </c>
      <c r="E35" s="84" t="s">
        <v>134</v>
      </c>
      <c r="F35" s="84" t="s">
        <v>60</v>
      </c>
      <c r="G35" s="84" t="s">
        <v>61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135</v>
      </c>
      <c r="E36" s="84" t="s">
        <v>136</v>
      </c>
      <c r="F36" s="84" t="s">
        <v>60</v>
      </c>
      <c r="G36" s="84" t="s">
        <v>61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137</v>
      </c>
      <c r="E37" s="84" t="s">
        <v>138</v>
      </c>
      <c r="F37" s="84" t="s">
        <v>139</v>
      </c>
      <c r="G37" s="84" t="s">
        <v>61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140</v>
      </c>
      <c r="E38" s="84" t="s">
        <v>141</v>
      </c>
      <c r="F38" s="84" t="s">
        <v>139</v>
      </c>
      <c r="G38" s="84" t="s">
        <v>61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142</v>
      </c>
      <c r="E39" s="84" t="s">
        <v>143</v>
      </c>
      <c r="F39" s="84" t="s">
        <v>139</v>
      </c>
      <c r="G39" s="84" t="s">
        <v>61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144</v>
      </c>
      <c r="E40" s="84" t="s">
        <v>145</v>
      </c>
      <c r="F40" s="84" t="s">
        <v>139</v>
      </c>
      <c r="G40" s="84" t="s">
        <v>61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146</v>
      </c>
      <c r="E41" s="84" t="s">
        <v>147</v>
      </c>
      <c r="F41" s="84" t="s">
        <v>139</v>
      </c>
      <c r="G41" s="84" t="s">
        <v>61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148</v>
      </c>
      <c r="E42" s="84" t="s">
        <v>149</v>
      </c>
      <c r="F42" s="84" t="s">
        <v>139</v>
      </c>
      <c r="G42" s="84" t="s">
        <v>61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150</v>
      </c>
      <c r="E43" s="84" t="s">
        <v>151</v>
      </c>
      <c r="F43" s="84" t="s">
        <v>139</v>
      </c>
      <c r="G43" s="84" t="s">
        <v>61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152</v>
      </c>
      <c r="E44" s="84" t="s">
        <v>153</v>
      </c>
      <c r="F44" s="84" t="s">
        <v>139</v>
      </c>
      <c r="G44" s="84" t="s">
        <v>61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154</v>
      </c>
      <c r="E45" s="84" t="s">
        <v>155</v>
      </c>
      <c r="F45" s="84" t="s">
        <v>139</v>
      </c>
      <c r="G45" s="84" t="s">
        <v>61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156</v>
      </c>
      <c r="E46" s="84" t="s">
        <v>157</v>
      </c>
      <c r="F46" s="84" t="s">
        <v>139</v>
      </c>
      <c r="G46" s="84" t="s">
        <v>61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158</v>
      </c>
      <c r="E47" s="84" t="s">
        <v>159</v>
      </c>
      <c r="F47" s="84" t="s">
        <v>139</v>
      </c>
      <c r="G47" s="84" t="s">
        <v>61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160</v>
      </c>
      <c r="E48" s="84" t="s">
        <v>161</v>
      </c>
      <c r="F48" s="84" t="s">
        <v>139</v>
      </c>
      <c r="G48" s="84" t="s">
        <v>61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162</v>
      </c>
      <c r="E49" s="84" t="s">
        <v>163</v>
      </c>
      <c r="F49" s="84" t="s">
        <v>139</v>
      </c>
      <c r="G49" s="84" t="s">
        <v>61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164</v>
      </c>
      <c r="E50" s="84" t="s">
        <v>165</v>
      </c>
      <c r="F50" s="84" t="s">
        <v>139</v>
      </c>
      <c r="G50" s="84" t="s">
        <v>61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166</v>
      </c>
      <c r="E51" s="84" t="s">
        <v>167</v>
      </c>
      <c r="F51" s="84" t="s">
        <v>139</v>
      </c>
      <c r="G51" s="84" t="s">
        <v>61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168</v>
      </c>
      <c r="E52" s="84" t="s">
        <v>169</v>
      </c>
      <c r="F52" s="84" t="s">
        <v>139</v>
      </c>
      <c r="G52" s="84" t="s">
        <v>61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170</v>
      </c>
      <c r="E53" s="84" t="s">
        <v>171</v>
      </c>
      <c r="F53" s="84" t="s">
        <v>139</v>
      </c>
      <c r="G53" s="84" t="s">
        <v>61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172</v>
      </c>
      <c r="E54" s="84" t="s">
        <v>173</v>
      </c>
      <c r="F54" s="84" t="s">
        <v>139</v>
      </c>
      <c r="G54" s="84" t="s">
        <v>61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174</v>
      </c>
      <c r="E55" s="84" t="s">
        <v>175</v>
      </c>
      <c r="F55" s="84" t="s">
        <v>139</v>
      </c>
      <c r="G55" s="84" t="s">
        <v>61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176</v>
      </c>
      <c r="E56" s="84" t="s">
        <v>177</v>
      </c>
      <c r="F56" s="84" t="s">
        <v>139</v>
      </c>
      <c r="G56" s="84" t="s">
        <v>61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178</v>
      </c>
      <c r="E57" s="84" t="s">
        <v>179</v>
      </c>
      <c r="F57" s="84" t="s">
        <v>139</v>
      </c>
      <c r="G57" s="84" t="s">
        <v>61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180</v>
      </c>
      <c r="E58" s="84" t="s">
        <v>181</v>
      </c>
      <c r="F58" s="84" t="s">
        <v>139</v>
      </c>
      <c r="G58" s="84" t="s">
        <v>61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182</v>
      </c>
      <c r="E59" s="84" t="s">
        <v>183</v>
      </c>
      <c r="F59" s="84" t="s">
        <v>139</v>
      </c>
      <c r="G59" s="84" t="s">
        <v>61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184</v>
      </c>
      <c r="E60" s="84" t="s">
        <v>185</v>
      </c>
      <c r="F60" s="84" t="s">
        <v>139</v>
      </c>
      <c r="G60" s="84" t="s">
        <v>61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186</v>
      </c>
      <c r="E61" s="84" t="s">
        <v>187</v>
      </c>
      <c r="F61" s="84" t="s">
        <v>139</v>
      </c>
      <c r="G61" s="84" t="s">
        <v>61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188</v>
      </c>
      <c r="E62" s="84" t="s">
        <v>189</v>
      </c>
      <c r="F62" s="84" t="s">
        <v>139</v>
      </c>
      <c r="G62" s="84" t="s">
        <v>61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190</v>
      </c>
      <c r="E63" s="84" t="s">
        <v>191</v>
      </c>
      <c r="F63" s="84" t="s">
        <v>139</v>
      </c>
      <c r="G63" s="84" t="s">
        <v>61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192</v>
      </c>
      <c r="E64" s="84" t="s">
        <v>193</v>
      </c>
      <c r="F64" s="84" t="s">
        <v>139</v>
      </c>
      <c r="G64" s="84" t="s">
        <v>61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194</v>
      </c>
      <c r="E65" s="84" t="s">
        <v>195</v>
      </c>
      <c r="F65" s="84" t="s">
        <v>139</v>
      </c>
      <c r="G65" s="84" t="s">
        <v>61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196</v>
      </c>
      <c r="E66" s="84" t="s">
        <v>197</v>
      </c>
      <c r="F66" s="84" t="s">
        <v>139</v>
      </c>
      <c r="G66" s="84" t="s">
        <v>61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198</v>
      </c>
      <c r="E67" s="84" t="s">
        <v>199</v>
      </c>
      <c r="F67" s="84" t="s">
        <v>139</v>
      </c>
      <c r="G67" s="84" t="s">
        <v>61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200</v>
      </c>
      <c r="E68" s="84" t="s">
        <v>201</v>
      </c>
      <c r="F68" s="84" t="s">
        <v>139</v>
      </c>
      <c r="G68" s="84" t="s">
        <v>61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202</v>
      </c>
      <c r="E69" s="84" t="s">
        <v>203</v>
      </c>
      <c r="F69" s="84" t="s">
        <v>204</v>
      </c>
      <c r="G69" s="84" t="s">
        <v>61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205</v>
      </c>
      <c r="E70" s="84" t="s">
        <v>206</v>
      </c>
      <c r="F70" s="84" t="s">
        <v>204</v>
      </c>
      <c r="G70" s="84" t="s">
        <v>61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207</v>
      </c>
      <c r="E71" s="84" t="s">
        <v>208</v>
      </c>
      <c r="F71" s="84" t="s">
        <v>204</v>
      </c>
      <c r="G71" s="84" t="s">
        <v>61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209</v>
      </c>
      <c r="E72" s="84" t="s">
        <v>210</v>
      </c>
      <c r="F72" s="84" t="s">
        <v>204</v>
      </c>
      <c r="G72" s="84" t="s">
        <v>61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211</v>
      </c>
      <c r="E73" s="84" t="s">
        <v>212</v>
      </c>
      <c r="F73" s="84" t="s">
        <v>204</v>
      </c>
      <c r="G73" s="84" t="s">
        <v>61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213</v>
      </c>
      <c r="E74" s="84" t="s">
        <v>214</v>
      </c>
      <c r="F74" s="84" t="s">
        <v>204</v>
      </c>
      <c r="G74" s="84" t="s">
        <v>61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215</v>
      </c>
      <c r="E75" s="84" t="s">
        <v>216</v>
      </c>
      <c r="F75" s="84" t="s">
        <v>204</v>
      </c>
      <c r="G75" s="84" t="s">
        <v>61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217</v>
      </c>
      <c r="E76" s="84" t="s">
        <v>218</v>
      </c>
      <c r="F76" s="84" t="s">
        <v>204</v>
      </c>
      <c r="G76" s="84" t="s">
        <v>61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219</v>
      </c>
      <c r="E77" s="84" t="s">
        <v>220</v>
      </c>
      <c r="F77" s="84" t="s">
        <v>204</v>
      </c>
      <c r="G77" s="84" t="s">
        <v>61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221</v>
      </c>
      <c r="E78" s="84" t="s">
        <v>222</v>
      </c>
      <c r="F78" s="84" t="s">
        <v>204</v>
      </c>
      <c r="G78" s="84" t="s">
        <v>61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223</v>
      </c>
      <c r="E79" s="84" t="s">
        <v>224</v>
      </c>
      <c r="F79" s="84" t="s">
        <v>204</v>
      </c>
      <c r="G79" s="84" t="s">
        <v>61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225</v>
      </c>
      <c r="E80" s="84" t="s">
        <v>226</v>
      </c>
      <c r="F80" s="84" t="s">
        <v>204</v>
      </c>
      <c r="G80" s="84" t="s">
        <v>61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227</v>
      </c>
      <c r="E81" s="84" t="s">
        <v>228</v>
      </c>
      <c r="F81" s="84" t="s">
        <v>204</v>
      </c>
      <c r="G81" s="84" t="s">
        <v>61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229</v>
      </c>
      <c r="E82" s="84" t="s">
        <v>230</v>
      </c>
      <c r="F82" s="84" t="s">
        <v>204</v>
      </c>
      <c r="G82" s="84" t="s">
        <v>61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231</v>
      </c>
      <c r="E83" s="84" t="s">
        <v>232</v>
      </c>
      <c r="F83" s="84" t="s">
        <v>204</v>
      </c>
      <c r="G83" s="84" t="s">
        <v>61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233</v>
      </c>
      <c r="E84" s="84" t="s">
        <v>234</v>
      </c>
      <c r="F84" s="84" t="s">
        <v>204</v>
      </c>
      <c r="G84" s="84" t="s">
        <v>61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235</v>
      </c>
      <c r="E85" s="84" t="s">
        <v>236</v>
      </c>
      <c r="F85" s="84" t="s">
        <v>204</v>
      </c>
      <c r="G85" s="84" t="s">
        <v>61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237</v>
      </c>
      <c r="E86" s="84" t="s">
        <v>238</v>
      </c>
      <c r="F86" s="84" t="s">
        <v>204</v>
      </c>
      <c r="G86" s="84" t="s">
        <v>61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239</v>
      </c>
      <c r="E87" s="84" t="s">
        <v>240</v>
      </c>
      <c r="F87" s="84" t="s">
        <v>204</v>
      </c>
      <c r="G87" s="84" t="s">
        <v>61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241</v>
      </c>
      <c r="E88" s="84" t="s">
        <v>242</v>
      </c>
      <c r="F88" s="84" t="s">
        <v>204</v>
      </c>
      <c r="G88" s="84" t="s">
        <v>61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243</v>
      </c>
      <c r="E89" s="84" t="s">
        <v>244</v>
      </c>
      <c r="F89" s="84" t="s">
        <v>204</v>
      </c>
      <c r="G89" s="84" t="s">
        <v>61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245</v>
      </c>
      <c r="E90" s="84" t="s">
        <v>246</v>
      </c>
      <c r="F90" s="84" t="s">
        <v>204</v>
      </c>
      <c r="G90" s="84" t="s">
        <v>61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247</v>
      </c>
      <c r="E91" s="84" t="s">
        <v>248</v>
      </c>
      <c r="F91" s="84" t="s">
        <v>204</v>
      </c>
      <c r="G91" s="84" t="s">
        <v>61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249</v>
      </c>
      <c r="E92" s="84" t="s">
        <v>250</v>
      </c>
      <c r="F92" s="84" t="s">
        <v>204</v>
      </c>
      <c r="G92" s="84" t="s">
        <v>61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251</v>
      </c>
      <c r="E93" s="84" t="s">
        <v>252</v>
      </c>
      <c r="F93" s="84" t="s">
        <v>204</v>
      </c>
      <c r="G93" s="84" t="s">
        <v>61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253</v>
      </c>
      <c r="E94" s="84" t="s">
        <v>254</v>
      </c>
      <c r="F94" s="84" t="s">
        <v>204</v>
      </c>
      <c r="G94" s="84" t="s">
        <v>61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255</v>
      </c>
      <c r="E95" s="84" t="s">
        <v>256</v>
      </c>
      <c r="F95" s="84" t="s">
        <v>204</v>
      </c>
      <c r="G95" s="84" t="s">
        <v>61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257</v>
      </c>
      <c r="E96" s="84" t="s">
        <v>258</v>
      </c>
      <c r="F96" s="84" t="s">
        <v>204</v>
      </c>
      <c r="G96" s="84" t="s">
        <v>61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259</v>
      </c>
      <c r="E97" s="84" t="s">
        <v>260</v>
      </c>
      <c r="F97" s="84" t="s">
        <v>204</v>
      </c>
      <c r="G97" s="84" t="s">
        <v>61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261</v>
      </c>
      <c r="E98" s="84" t="s">
        <v>262</v>
      </c>
      <c r="F98" s="84" t="s">
        <v>204</v>
      </c>
      <c r="G98" s="84" t="s">
        <v>61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263</v>
      </c>
      <c r="E99" s="84" t="s">
        <v>264</v>
      </c>
      <c r="F99" s="84" t="s">
        <v>204</v>
      </c>
      <c r="G99" s="84" t="s">
        <v>61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265</v>
      </c>
      <c r="E100" s="84" t="s">
        <v>266</v>
      </c>
      <c r="F100" s="84" t="s">
        <v>204</v>
      </c>
      <c r="G100" s="84" t="s">
        <v>61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267</v>
      </c>
      <c r="E101" s="84" t="s">
        <v>268</v>
      </c>
      <c r="F101" s="84" t="s">
        <v>269</v>
      </c>
      <c r="G101" s="84" t="s">
        <v>61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270</v>
      </c>
      <c r="E102" s="84" t="s">
        <v>271</v>
      </c>
      <c r="F102" s="84" t="s">
        <v>269</v>
      </c>
      <c r="G102" s="84" t="s">
        <v>61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272</v>
      </c>
      <c r="E103" s="84" t="s">
        <v>273</v>
      </c>
      <c r="F103" s="84" t="s">
        <v>269</v>
      </c>
      <c r="G103" s="84" t="s">
        <v>61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274</v>
      </c>
      <c r="E104" s="84" t="s">
        <v>275</v>
      </c>
      <c r="F104" s="84" t="s">
        <v>269</v>
      </c>
      <c r="G104" s="84" t="s">
        <v>61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276</v>
      </c>
      <c r="E105" s="84" t="s">
        <v>277</v>
      </c>
      <c r="F105" s="84" t="s">
        <v>269</v>
      </c>
      <c r="G105" s="84" t="s">
        <v>61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278</v>
      </c>
      <c r="E106" s="84" t="s">
        <v>279</v>
      </c>
      <c r="F106" s="84" t="s">
        <v>269</v>
      </c>
      <c r="G106" s="84" t="s">
        <v>61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280</v>
      </c>
      <c r="E107" s="84" t="s">
        <v>281</v>
      </c>
      <c r="F107" s="84" t="s">
        <v>269</v>
      </c>
      <c r="G107" s="84" t="s">
        <v>61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282</v>
      </c>
      <c r="E108" s="84" t="s">
        <v>283</v>
      </c>
      <c r="F108" s="84" t="s">
        <v>269</v>
      </c>
      <c r="G108" s="84" t="s">
        <v>61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284</v>
      </c>
      <c r="E109" s="84" t="s">
        <v>285</v>
      </c>
      <c r="F109" s="84" t="s">
        <v>269</v>
      </c>
      <c r="G109" s="84" t="s">
        <v>61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286</v>
      </c>
      <c r="E110" s="84" t="s">
        <v>287</v>
      </c>
      <c r="F110" s="84" t="s">
        <v>269</v>
      </c>
      <c r="G110" s="84" t="s">
        <v>61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288</v>
      </c>
      <c r="E111" s="84" t="s">
        <v>289</v>
      </c>
      <c r="F111" s="84" t="s">
        <v>269</v>
      </c>
      <c r="G111" s="84" t="s">
        <v>61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290</v>
      </c>
      <c r="E112" s="84" t="s">
        <v>291</v>
      </c>
      <c r="F112" s="84" t="s">
        <v>269</v>
      </c>
      <c r="G112" s="84" t="s">
        <v>61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292</v>
      </c>
      <c r="E113" s="84" t="s">
        <v>293</v>
      </c>
      <c r="F113" s="84" t="s">
        <v>269</v>
      </c>
      <c r="G113" s="84" t="s">
        <v>61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294</v>
      </c>
      <c r="E114" s="84" t="s">
        <v>295</v>
      </c>
      <c r="F114" s="84" t="s">
        <v>269</v>
      </c>
      <c r="G114" s="84" t="s">
        <v>61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296</v>
      </c>
      <c r="E115" s="84" t="s">
        <v>297</v>
      </c>
      <c r="F115" s="84" t="s">
        <v>269</v>
      </c>
      <c r="G115" s="84" t="s">
        <v>61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298</v>
      </c>
      <c r="E116" s="84" t="s">
        <v>299</v>
      </c>
      <c r="F116" s="84" t="s">
        <v>269</v>
      </c>
      <c r="G116" s="84" t="s">
        <v>61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300</v>
      </c>
      <c r="E117" s="84" t="s">
        <v>301</v>
      </c>
      <c r="F117" s="84" t="s">
        <v>269</v>
      </c>
      <c r="G117" s="84" t="s">
        <v>61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302</v>
      </c>
      <c r="E118" s="84" t="s">
        <v>303</v>
      </c>
      <c r="F118" s="84" t="s">
        <v>269</v>
      </c>
      <c r="G118" s="84" t="s">
        <v>61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304</v>
      </c>
      <c r="E119" s="84" t="s">
        <v>305</v>
      </c>
      <c r="F119" s="84" t="s">
        <v>269</v>
      </c>
      <c r="G119" s="84" t="s">
        <v>61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306</v>
      </c>
      <c r="E120" s="84" t="s">
        <v>307</v>
      </c>
      <c r="F120" s="84" t="s">
        <v>269</v>
      </c>
      <c r="G120" s="84" t="s">
        <v>61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308</v>
      </c>
      <c r="E121" s="84" t="s">
        <v>309</v>
      </c>
      <c r="F121" s="84" t="s">
        <v>269</v>
      </c>
      <c r="G121" s="84" t="s">
        <v>61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310</v>
      </c>
      <c r="E122" s="84" t="s">
        <v>311</v>
      </c>
      <c r="F122" s="84" t="s">
        <v>269</v>
      </c>
      <c r="G122" s="84" t="s">
        <v>61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312</v>
      </c>
      <c r="E123" s="84" t="s">
        <v>313</v>
      </c>
      <c r="F123" s="84" t="s">
        <v>269</v>
      </c>
      <c r="G123" s="84" t="s">
        <v>61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314</v>
      </c>
      <c r="E124" s="84" t="s">
        <v>315</v>
      </c>
      <c r="F124" s="84" t="s">
        <v>269</v>
      </c>
      <c r="G124" s="84" t="s">
        <v>61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316</v>
      </c>
      <c r="E125" s="84" t="s">
        <v>317</v>
      </c>
      <c r="F125" s="84" t="s">
        <v>269</v>
      </c>
      <c r="G125" s="84" t="s">
        <v>61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318</v>
      </c>
      <c r="E126" s="84" t="s">
        <v>319</v>
      </c>
      <c r="F126" s="84" t="s">
        <v>269</v>
      </c>
      <c r="G126" s="84" t="s">
        <v>61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320</v>
      </c>
      <c r="E127" s="84" t="s">
        <v>321</v>
      </c>
      <c r="F127" s="84" t="s">
        <v>269</v>
      </c>
      <c r="G127" s="84" t="s">
        <v>61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322</v>
      </c>
      <c r="E128" s="84" t="s">
        <v>323</v>
      </c>
      <c r="F128" s="84" t="s">
        <v>269</v>
      </c>
      <c r="G128" s="84" t="s">
        <v>61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324</v>
      </c>
      <c r="E129" s="84" t="s">
        <v>325</v>
      </c>
      <c r="F129" s="84" t="s">
        <v>269</v>
      </c>
      <c r="G129" s="84" t="s">
        <v>61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326</v>
      </c>
      <c r="E130" s="84" t="s">
        <v>327</v>
      </c>
      <c r="F130" s="84" t="s">
        <v>269</v>
      </c>
      <c r="G130" s="84" t="s">
        <v>61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328</v>
      </c>
      <c r="E131" s="84" t="s">
        <v>329</v>
      </c>
      <c r="F131" s="84" t="s">
        <v>269</v>
      </c>
      <c r="G131" s="84" t="s">
        <v>61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330</v>
      </c>
      <c r="E132" s="84" t="s">
        <v>331</v>
      </c>
      <c r="F132" s="84" t="s">
        <v>269</v>
      </c>
      <c r="G132" s="84" t="s">
        <v>61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332</v>
      </c>
      <c r="E133" s="84" t="s">
        <v>333</v>
      </c>
      <c r="F133" s="84" t="s">
        <v>334</v>
      </c>
      <c r="G133" s="84" t="s">
        <v>61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335</v>
      </c>
      <c r="E134" s="84" t="s">
        <v>336</v>
      </c>
      <c r="F134" s="84" t="s">
        <v>334</v>
      </c>
      <c r="G134" s="84" t="s">
        <v>61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337</v>
      </c>
      <c r="E135" s="84" t="s">
        <v>338</v>
      </c>
      <c r="F135" s="84" t="s">
        <v>334</v>
      </c>
      <c r="G135" s="84" t="s">
        <v>61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339</v>
      </c>
      <c r="E136" s="84" t="s">
        <v>340</v>
      </c>
      <c r="F136" s="84" t="s">
        <v>334</v>
      </c>
      <c r="G136" s="84" t="s">
        <v>61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341</v>
      </c>
      <c r="E137" s="84" t="s">
        <v>342</v>
      </c>
      <c r="F137" s="84" t="s">
        <v>334</v>
      </c>
      <c r="G137" s="84" t="s">
        <v>61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343</v>
      </c>
      <c r="E138" s="84" t="s">
        <v>344</v>
      </c>
      <c r="F138" s="84" t="s">
        <v>334</v>
      </c>
      <c r="G138" s="84" t="s">
        <v>61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345</v>
      </c>
      <c r="E139" s="84" t="s">
        <v>346</v>
      </c>
      <c r="F139" s="84" t="s">
        <v>334</v>
      </c>
      <c r="G139" s="84" t="s">
        <v>61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347</v>
      </c>
      <c r="E140" s="84" t="s">
        <v>348</v>
      </c>
      <c r="F140" s="84" t="s">
        <v>334</v>
      </c>
      <c r="G140" s="84" t="s">
        <v>61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349</v>
      </c>
      <c r="E141" s="84" t="s">
        <v>350</v>
      </c>
      <c r="F141" s="84" t="s">
        <v>334</v>
      </c>
      <c r="G141" s="84" t="s">
        <v>61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351</v>
      </c>
      <c r="E142" s="84" t="s">
        <v>352</v>
      </c>
      <c r="F142" s="84" t="s">
        <v>334</v>
      </c>
      <c r="G142" s="84" t="s">
        <v>61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353</v>
      </c>
      <c r="E143" s="84" t="s">
        <v>354</v>
      </c>
      <c r="F143" s="84" t="s">
        <v>334</v>
      </c>
      <c r="G143" s="84" t="s">
        <v>61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355</v>
      </c>
      <c r="E144" s="84" t="s">
        <v>356</v>
      </c>
      <c r="F144" s="84" t="s">
        <v>334</v>
      </c>
      <c r="G144" s="84" t="s">
        <v>61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357</v>
      </c>
      <c r="E145" s="84" t="s">
        <v>358</v>
      </c>
      <c r="F145" s="84" t="s">
        <v>334</v>
      </c>
      <c r="G145" s="84" t="s">
        <v>61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359</v>
      </c>
      <c r="E146" s="84" t="s">
        <v>360</v>
      </c>
      <c r="F146" s="84" t="s">
        <v>334</v>
      </c>
      <c r="G146" s="84" t="s">
        <v>61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361</v>
      </c>
      <c r="E147" s="84" t="s">
        <v>362</v>
      </c>
      <c r="F147" s="84" t="s">
        <v>334</v>
      </c>
      <c r="G147" s="84" t="s">
        <v>61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363</v>
      </c>
      <c r="E148" s="84" t="s">
        <v>364</v>
      </c>
      <c r="F148" s="84" t="s">
        <v>334</v>
      </c>
      <c r="G148" s="84" t="s">
        <v>61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365</v>
      </c>
      <c r="E149" s="84" t="s">
        <v>366</v>
      </c>
      <c r="F149" s="84" t="s">
        <v>334</v>
      </c>
      <c r="G149" s="84" t="s">
        <v>61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367</v>
      </c>
      <c r="E150" s="84" t="s">
        <v>368</v>
      </c>
      <c r="F150" s="84" t="s">
        <v>334</v>
      </c>
      <c r="G150" s="84" t="s">
        <v>61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369</v>
      </c>
      <c r="E151" s="84" t="s">
        <v>370</v>
      </c>
      <c r="F151" s="84" t="s">
        <v>334</v>
      </c>
      <c r="G151" s="84" t="s">
        <v>61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371</v>
      </c>
      <c r="E152" s="84" t="s">
        <v>372</v>
      </c>
      <c r="F152" s="84" t="s">
        <v>334</v>
      </c>
      <c r="G152" s="84" t="s">
        <v>61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373</v>
      </c>
      <c r="E153" s="84" t="s">
        <v>374</v>
      </c>
      <c r="F153" s="84" t="s">
        <v>334</v>
      </c>
      <c r="G153" s="84" t="s">
        <v>61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375</v>
      </c>
      <c r="E154" s="84" t="s">
        <v>376</v>
      </c>
      <c r="F154" s="84" t="s">
        <v>334</v>
      </c>
      <c r="G154" s="84" t="s">
        <v>61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377</v>
      </c>
      <c r="E155" s="84" t="s">
        <v>378</v>
      </c>
      <c r="F155" s="84" t="s">
        <v>334</v>
      </c>
      <c r="G155" s="84" t="s">
        <v>61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379</v>
      </c>
      <c r="E156" s="84" t="s">
        <v>380</v>
      </c>
      <c r="F156" s="84" t="s">
        <v>334</v>
      </c>
      <c r="G156" s="84" t="s">
        <v>61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381</v>
      </c>
      <c r="E157" s="84" t="s">
        <v>382</v>
      </c>
      <c r="F157" s="84" t="s">
        <v>334</v>
      </c>
      <c r="G157" s="84" t="s">
        <v>61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383</v>
      </c>
      <c r="E158" s="84" t="s">
        <v>384</v>
      </c>
      <c r="F158" s="84" t="s">
        <v>334</v>
      </c>
      <c r="G158" s="84" t="s">
        <v>61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385</v>
      </c>
      <c r="E159" s="84" t="s">
        <v>386</v>
      </c>
      <c r="F159" s="84" t="s">
        <v>334</v>
      </c>
      <c r="G159" s="84" t="s">
        <v>61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387</v>
      </c>
      <c r="E160" s="84" t="s">
        <v>388</v>
      </c>
      <c r="F160" s="84" t="s">
        <v>334</v>
      </c>
      <c r="G160" s="84" t="s">
        <v>61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389</v>
      </c>
      <c r="E161" s="84" t="s">
        <v>390</v>
      </c>
      <c r="F161" s="84" t="s">
        <v>334</v>
      </c>
      <c r="G161" s="84" t="s">
        <v>61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391</v>
      </c>
      <c r="E162" s="84" t="s">
        <v>392</v>
      </c>
      <c r="F162" s="84" t="s">
        <v>334</v>
      </c>
      <c r="G162" s="84" t="s">
        <v>61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393</v>
      </c>
      <c r="E163" s="84" t="s">
        <v>394</v>
      </c>
      <c r="F163" s="84" t="s">
        <v>334</v>
      </c>
      <c r="G163" s="84" t="s">
        <v>61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395</v>
      </c>
      <c r="E164" s="84" t="s">
        <v>396</v>
      </c>
      <c r="F164" s="84" t="s">
        <v>334</v>
      </c>
      <c r="G164" s="84" t="s">
        <v>61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397</v>
      </c>
      <c r="E165" s="84" t="s">
        <v>398</v>
      </c>
      <c r="F165" s="84" t="s">
        <v>399</v>
      </c>
      <c r="G165" s="84" t="s">
        <v>61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400</v>
      </c>
      <c r="E166" s="84" t="s">
        <v>401</v>
      </c>
      <c r="F166" s="84" t="s">
        <v>399</v>
      </c>
      <c r="G166" s="84" t="s">
        <v>61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402</v>
      </c>
      <c r="E167" s="84" t="s">
        <v>403</v>
      </c>
      <c r="F167" s="84" t="s">
        <v>399</v>
      </c>
      <c r="G167" s="84" t="s">
        <v>61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404</v>
      </c>
      <c r="E168" s="84" t="s">
        <v>405</v>
      </c>
      <c r="F168" s="84" t="s">
        <v>399</v>
      </c>
      <c r="G168" s="84" t="s">
        <v>61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406</v>
      </c>
      <c r="E169" s="84" t="s">
        <v>407</v>
      </c>
      <c r="F169" s="84" t="s">
        <v>399</v>
      </c>
      <c r="G169" s="84" t="s">
        <v>61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408</v>
      </c>
      <c r="E170" s="84" t="s">
        <v>409</v>
      </c>
      <c r="F170" s="84" t="s">
        <v>399</v>
      </c>
      <c r="G170" s="84" t="s">
        <v>61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410</v>
      </c>
      <c r="E171" s="84" t="s">
        <v>411</v>
      </c>
      <c r="F171" s="84" t="s">
        <v>399</v>
      </c>
      <c r="G171" s="84" t="s">
        <v>61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412</v>
      </c>
      <c r="E172" s="84" t="s">
        <v>413</v>
      </c>
      <c r="F172" s="84" t="s">
        <v>399</v>
      </c>
      <c r="G172" s="84" t="s">
        <v>61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414</v>
      </c>
      <c r="E173" s="84" t="s">
        <v>415</v>
      </c>
      <c r="F173" s="84" t="s">
        <v>399</v>
      </c>
      <c r="G173" s="84" t="s">
        <v>61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416</v>
      </c>
      <c r="E174" s="84" t="s">
        <v>417</v>
      </c>
      <c r="F174" s="84" t="s">
        <v>399</v>
      </c>
      <c r="G174" s="84" t="s">
        <v>61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418</v>
      </c>
      <c r="E175" s="84" t="s">
        <v>419</v>
      </c>
      <c r="F175" s="84" t="s">
        <v>399</v>
      </c>
      <c r="G175" s="84" t="s">
        <v>61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420</v>
      </c>
      <c r="E176" s="84" t="s">
        <v>421</v>
      </c>
      <c r="F176" s="84" t="s">
        <v>399</v>
      </c>
      <c r="G176" s="84" t="s">
        <v>61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422</v>
      </c>
      <c r="E177" s="84" t="s">
        <v>423</v>
      </c>
      <c r="F177" s="84" t="s">
        <v>399</v>
      </c>
      <c r="G177" s="84" t="s">
        <v>61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424</v>
      </c>
      <c r="E178" s="84" t="s">
        <v>425</v>
      </c>
      <c r="F178" s="84" t="s">
        <v>399</v>
      </c>
      <c r="G178" s="84" t="s">
        <v>61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426</v>
      </c>
      <c r="E179" s="84" t="s">
        <v>427</v>
      </c>
      <c r="F179" s="84" t="s">
        <v>399</v>
      </c>
      <c r="G179" s="84" t="s">
        <v>61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428</v>
      </c>
      <c r="E180" s="84" t="s">
        <v>429</v>
      </c>
      <c r="F180" s="84" t="s">
        <v>399</v>
      </c>
      <c r="G180" s="84" t="s">
        <v>61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430</v>
      </c>
      <c r="E181" s="84" t="s">
        <v>431</v>
      </c>
      <c r="F181" s="84" t="s">
        <v>399</v>
      </c>
      <c r="G181" s="84" t="s">
        <v>61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432</v>
      </c>
      <c r="E182" s="84" t="s">
        <v>433</v>
      </c>
      <c r="F182" s="84" t="s">
        <v>399</v>
      </c>
      <c r="G182" s="84" t="s">
        <v>61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434</v>
      </c>
      <c r="E183" s="84" t="s">
        <v>435</v>
      </c>
      <c r="F183" s="84" t="s">
        <v>399</v>
      </c>
      <c r="G183" s="84" t="s">
        <v>61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436</v>
      </c>
      <c r="E184" s="84" t="s">
        <v>437</v>
      </c>
      <c r="F184" s="84" t="s">
        <v>399</v>
      </c>
      <c r="G184" s="84" t="s">
        <v>61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438</v>
      </c>
      <c r="E185" s="84" t="s">
        <v>439</v>
      </c>
      <c r="F185" s="84" t="s">
        <v>399</v>
      </c>
      <c r="G185" s="84" t="s">
        <v>61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440</v>
      </c>
      <c r="E186" s="84" t="s">
        <v>441</v>
      </c>
      <c r="F186" s="84" t="s">
        <v>399</v>
      </c>
      <c r="G186" s="84" t="s">
        <v>61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442</v>
      </c>
      <c r="E187" s="84" t="s">
        <v>443</v>
      </c>
      <c r="F187" s="84" t="s">
        <v>399</v>
      </c>
      <c r="G187" s="84" t="s">
        <v>61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444</v>
      </c>
      <c r="E188" s="84" t="s">
        <v>445</v>
      </c>
      <c r="F188" s="84" t="s">
        <v>399</v>
      </c>
      <c r="G188" s="84" t="s">
        <v>61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446</v>
      </c>
      <c r="E189" s="84" t="s">
        <v>447</v>
      </c>
      <c r="F189" s="84" t="s">
        <v>399</v>
      </c>
      <c r="G189" s="84" t="s">
        <v>61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448</v>
      </c>
      <c r="E190" s="84" t="s">
        <v>449</v>
      </c>
      <c r="F190" s="84" t="s">
        <v>399</v>
      </c>
      <c r="G190" s="84" t="s">
        <v>61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450</v>
      </c>
      <c r="E191" s="84" t="s">
        <v>451</v>
      </c>
      <c r="F191" s="84" t="s">
        <v>399</v>
      </c>
      <c r="G191" s="84" t="s">
        <v>61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452</v>
      </c>
      <c r="E192" s="84" t="s">
        <v>453</v>
      </c>
      <c r="F192" s="84" t="s">
        <v>399</v>
      </c>
      <c r="G192" s="84" t="s">
        <v>61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454</v>
      </c>
      <c r="E193" s="84" t="s">
        <v>455</v>
      </c>
      <c r="F193" s="84" t="s">
        <v>399</v>
      </c>
      <c r="G193" s="84" t="s">
        <v>61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456</v>
      </c>
      <c r="E194" s="84" t="s">
        <v>457</v>
      </c>
      <c r="F194" s="84" t="s">
        <v>399</v>
      </c>
      <c r="G194" s="84" t="s">
        <v>61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458</v>
      </c>
      <c r="E195" s="84" t="s">
        <v>459</v>
      </c>
      <c r="F195" s="84" t="s">
        <v>399</v>
      </c>
      <c r="G195" s="84" t="s">
        <v>61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460</v>
      </c>
      <c r="E196" s="84" t="s">
        <v>461</v>
      </c>
      <c r="F196" s="84" t="s">
        <v>399</v>
      </c>
      <c r="G196" s="84" t="s">
        <v>61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462</v>
      </c>
      <c r="E197" s="84" t="s">
        <v>463</v>
      </c>
      <c r="F197" s="84" t="s">
        <v>464</v>
      </c>
      <c r="G197" s="84" t="s">
        <v>61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465</v>
      </c>
      <c r="E198" s="84" t="s">
        <v>466</v>
      </c>
      <c r="F198" s="84" t="s">
        <v>464</v>
      </c>
      <c r="G198" s="84" t="s">
        <v>61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467</v>
      </c>
      <c r="E199" s="84" t="s">
        <v>468</v>
      </c>
      <c r="F199" s="84" t="s">
        <v>464</v>
      </c>
      <c r="G199" s="84" t="s">
        <v>61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469</v>
      </c>
      <c r="E200" s="84" t="s">
        <v>470</v>
      </c>
      <c r="F200" s="84" t="s">
        <v>464</v>
      </c>
      <c r="G200" s="84" t="s">
        <v>61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471</v>
      </c>
      <c r="E201" s="84" t="s">
        <v>472</v>
      </c>
      <c r="F201" s="84" t="s">
        <v>464</v>
      </c>
      <c r="G201" s="84" t="s">
        <v>61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473</v>
      </c>
      <c r="E202" s="84" t="s">
        <v>474</v>
      </c>
      <c r="F202" s="84" t="s">
        <v>464</v>
      </c>
      <c r="G202" s="84" t="s">
        <v>61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475</v>
      </c>
      <c r="E203" s="84" t="s">
        <v>476</v>
      </c>
      <c r="F203" s="84" t="s">
        <v>464</v>
      </c>
      <c r="G203" s="84" t="s">
        <v>61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477</v>
      </c>
      <c r="E204" s="84" t="s">
        <v>478</v>
      </c>
      <c r="F204" s="84" t="s">
        <v>464</v>
      </c>
      <c r="G204" s="84" t="s">
        <v>61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479</v>
      </c>
      <c r="E205" s="84" t="s">
        <v>480</v>
      </c>
      <c r="F205" s="84" t="s">
        <v>464</v>
      </c>
      <c r="G205" s="84" t="s">
        <v>61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481</v>
      </c>
      <c r="E206" s="84" t="s">
        <v>482</v>
      </c>
      <c r="F206" s="84" t="s">
        <v>464</v>
      </c>
      <c r="G206" s="84" t="s">
        <v>61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483</v>
      </c>
      <c r="E207" s="84" t="s">
        <v>484</v>
      </c>
      <c r="F207" s="84" t="s">
        <v>464</v>
      </c>
      <c r="G207" s="84" t="s">
        <v>61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485</v>
      </c>
      <c r="E208" s="84" t="s">
        <v>486</v>
      </c>
      <c r="F208" s="84" t="s">
        <v>464</v>
      </c>
      <c r="G208" s="84" t="s">
        <v>61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487</v>
      </c>
      <c r="E209" s="84" t="s">
        <v>488</v>
      </c>
      <c r="F209" s="84" t="s">
        <v>464</v>
      </c>
      <c r="G209" s="84" t="s">
        <v>61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489</v>
      </c>
      <c r="E210" s="84" t="s">
        <v>490</v>
      </c>
      <c r="F210" s="84" t="s">
        <v>464</v>
      </c>
      <c r="G210" s="84" t="s">
        <v>61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491</v>
      </c>
      <c r="E211" s="84" t="s">
        <v>492</v>
      </c>
      <c r="F211" s="84" t="s">
        <v>464</v>
      </c>
      <c r="G211" s="84" t="s">
        <v>61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493</v>
      </c>
      <c r="E212" s="84" t="s">
        <v>494</v>
      </c>
      <c r="F212" s="84" t="s">
        <v>464</v>
      </c>
      <c r="G212" s="84" t="s">
        <v>61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495</v>
      </c>
      <c r="E213" s="84" t="s">
        <v>496</v>
      </c>
      <c r="F213" s="84" t="s">
        <v>464</v>
      </c>
      <c r="G213" s="84" t="s">
        <v>61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497</v>
      </c>
      <c r="E214" s="84" t="s">
        <v>498</v>
      </c>
      <c r="F214" s="84" t="s">
        <v>464</v>
      </c>
      <c r="G214" s="84" t="s">
        <v>61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499</v>
      </c>
      <c r="E215" s="84" t="s">
        <v>500</v>
      </c>
      <c r="F215" s="84" t="s">
        <v>464</v>
      </c>
      <c r="G215" s="84" t="s">
        <v>61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501</v>
      </c>
      <c r="E216" s="84" t="s">
        <v>502</v>
      </c>
      <c r="F216" s="84" t="s">
        <v>464</v>
      </c>
      <c r="G216" s="84" t="s">
        <v>61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503</v>
      </c>
      <c r="E217" s="84" t="s">
        <v>504</v>
      </c>
      <c r="F217" s="84" t="s">
        <v>464</v>
      </c>
      <c r="G217" s="84" t="s">
        <v>61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505</v>
      </c>
      <c r="E218" s="84" t="s">
        <v>506</v>
      </c>
      <c r="F218" s="84" t="s">
        <v>464</v>
      </c>
      <c r="G218" s="84" t="s">
        <v>61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507</v>
      </c>
      <c r="E219" s="84" t="s">
        <v>508</v>
      </c>
      <c r="F219" s="84" t="s">
        <v>464</v>
      </c>
      <c r="G219" s="84" t="s">
        <v>61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509</v>
      </c>
      <c r="E220" s="84" t="s">
        <v>510</v>
      </c>
      <c r="F220" s="84" t="s">
        <v>464</v>
      </c>
      <c r="G220" s="84" t="s">
        <v>61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511</v>
      </c>
      <c r="E221" s="84" t="s">
        <v>512</v>
      </c>
      <c r="F221" s="84" t="s">
        <v>464</v>
      </c>
      <c r="G221" s="84" t="s">
        <v>61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513</v>
      </c>
      <c r="E222" s="84" t="s">
        <v>514</v>
      </c>
      <c r="F222" s="84" t="s">
        <v>464</v>
      </c>
      <c r="G222" s="84" t="s">
        <v>61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515</v>
      </c>
      <c r="E223" s="84" t="s">
        <v>516</v>
      </c>
      <c r="F223" s="84" t="s">
        <v>464</v>
      </c>
      <c r="G223" s="84" t="s">
        <v>61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517</v>
      </c>
      <c r="E224" s="84" t="s">
        <v>518</v>
      </c>
      <c r="F224" s="84" t="s">
        <v>464</v>
      </c>
      <c r="G224" s="84" t="s">
        <v>61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519</v>
      </c>
      <c r="E225" s="84" t="s">
        <v>520</v>
      </c>
      <c r="F225" s="84" t="s">
        <v>464</v>
      </c>
      <c r="G225" s="84" t="s">
        <v>61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521</v>
      </c>
      <c r="E226" s="84" t="s">
        <v>522</v>
      </c>
      <c r="F226" s="84" t="s">
        <v>464</v>
      </c>
      <c r="G226" s="84" t="s">
        <v>61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523</v>
      </c>
      <c r="E227" s="84" t="s">
        <v>524</v>
      </c>
      <c r="F227" s="84" t="s">
        <v>464</v>
      </c>
      <c r="G227" s="84" t="s">
        <v>61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525</v>
      </c>
      <c r="E228" s="84" t="s">
        <v>526</v>
      </c>
      <c r="F228" s="84" t="s">
        <v>464</v>
      </c>
      <c r="G228" s="84" t="s">
        <v>61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19</v>
      </c>
      <c r="B1" s="83" t="s">
        <v>27</v>
      </c>
      <c r="C1" s="83" t="s">
        <v>20</v>
      </c>
      <c r="D1" s="83" t="s">
        <v>21</v>
      </c>
      <c r="E1" s="83" t="s">
        <v>22</v>
      </c>
      <c r="F1" s="83" t="s">
        <v>49</v>
      </c>
      <c r="G1" s="83" t="s">
        <v>23</v>
      </c>
      <c r="H1" s="83" t="s">
        <v>24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 t="str">
        <f>INDEX(SOAL!$K:$K,J1+2)</f>
        <v>E</v>
      </c>
      <c r="K2" s="38" t="str">
        <f>INDEX(SOAL!$K:$K,K1+2)</f>
        <v>D</v>
      </c>
      <c r="L2" s="38" t="str">
        <f>INDEX(SOAL!$K:$K,L1+2)</f>
        <v>A</v>
      </c>
      <c r="M2" s="38" t="str">
        <f>INDEX(SOAL!$K:$K,M1+2)</f>
        <v>B</v>
      </c>
      <c r="N2" s="38" t="str">
        <f>INDEX(SOAL!$K:$K,N1+2)</f>
        <v>C</v>
      </c>
      <c r="O2" s="38" t="str">
        <f>INDEX(SOAL!$K:$K,O1+2)</f>
        <v>D</v>
      </c>
      <c r="P2" s="38" t="str">
        <f>INDEX(SOAL!$K:$K,P1+2)</f>
        <v>E</v>
      </c>
      <c r="Q2" s="38" t="str">
        <f>INDEX(SOAL!$K:$K,Q1+2)</f>
        <v>A</v>
      </c>
      <c r="R2" s="38" t="str">
        <f>INDEX(SOAL!$K:$K,R1+2)</f>
        <v>B</v>
      </c>
      <c r="S2" s="38" t="str">
        <f>INDEX(SOAL!$K:$K,S1+2)</f>
        <v>C</v>
      </c>
      <c r="T2" s="38" t="str">
        <f>INDEX(SOAL!$K:$K,T1+2)</f>
        <v>D</v>
      </c>
      <c r="U2" s="38" t="str">
        <f>INDEX(SOAL!$K:$K,U1+2)</f>
        <v>E</v>
      </c>
      <c r="V2" s="38" t="str">
        <f>INDEX(SOAL!$K:$K,V1+2)</f>
        <v>A</v>
      </c>
      <c r="W2" s="38" t="str">
        <f>INDEX(SOAL!$K:$K,W1+2)</f>
        <v>B</v>
      </c>
      <c r="X2" s="38" t="str">
        <f>INDEX(SOAL!$K:$K,X1+2)</f>
        <v>C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Adenovirus</v>
      </c>
      <c r="AK2" s="38" t="str">
        <f>INDEX(SOAL!$K:$K,AK1+2)</f>
        <v>Picornavirus</v>
      </c>
      <c r="AL2" s="38" t="str">
        <f>INDEX(SOAL!$K:$K,AL1+2)</f>
        <v>NCD</v>
      </c>
      <c r="AM2" s="38" t="str">
        <f>INDEX(SOAL!$K:$K,AM1+2)</f>
        <v>Eklifase</v>
      </c>
      <c r="AN2" s="38" t="str">
        <f>INDEX(SOAL!$K:$K,AN1+2)</f>
        <v>Lisis</v>
      </c>
      <c r="AO2" s="38" t="str">
        <f>INDEX(SOAL!$K:$K,AO1+2)</f>
        <v>B</v>
      </c>
      <c r="AP2" s="38" t="str">
        <f>INDEX(SOAL!$K:$K,AP1+2)</f>
        <v>B</v>
      </c>
      <c r="AQ2" s="38" t="str">
        <f>INDEX(SOAL!$K:$K,AQ1+2)</f>
        <v>S</v>
      </c>
      <c r="AR2" s="38" t="str">
        <f>INDEX(SOAL!$K:$K,AR1+2)</f>
        <v>S</v>
      </c>
      <c r="AS2" s="38" t="str">
        <f>INDEX(SOAL!$K:$K,AS1+2)</f>
        <v>B</v>
      </c>
      <c r="AT2" s="38" t="str">
        <f>INDEX(SOAL!$K:$K,AT1+2)</f>
        <v>-B</v>
      </c>
      <c r="AU2" s="38" t="str">
        <f>INDEX(SOAL!$K:$K,AU1+2)</f>
        <v>-B</v>
      </c>
      <c r="AV2" s="38" t="str">
        <f>INDEX(SOAL!$K:$K,AV1+2)</f>
        <v>B</v>
      </c>
      <c r="AW2" s="38" t="str">
        <f>INDEX(SOAL!$K:$K,AW1+2)</f>
        <v>-B</v>
      </c>
      <c r="AX2" s="38" t="str">
        <f>INDEX(SOAL!$K:$K,AX1+2)</f>
        <v>B</v>
      </c>
      <c r="AY2" s="38" t="str">
        <f>INDEX(SOAL!$K:$K,AY1+2)</f>
        <v>-B</v>
      </c>
      <c r="AZ2" s="38" t="str">
        <f>INDEX(SOAL!$K:$K,AZ1+2)</f>
        <v>B</v>
      </c>
      <c r="BA2" s="38" t="str">
        <f>INDEX(SOAL!$K:$K,BA1+2)</f>
        <v>B</v>
      </c>
      <c r="BB2" s="38" t="str">
        <f>INDEX(SOAL!$K:$K,BB1+2)</f>
        <v>-B</v>
      </c>
      <c r="BC2" s="38" t="str">
        <f>INDEX(SOAL!$K:$K,BC1+2)</f>
        <v>-B</v>
      </c>
      <c r="BD2" s="38" t="str">
        <f>INDEX(SOAL!$K:$K,BD1+2)</f>
        <v>-B</v>
      </c>
      <c r="BE2" s="38" t="str">
        <f>INDEX(SOAL!$K:$K,BE1+2)</f>
        <v>-B</v>
      </c>
      <c r="BF2" s="38" t="str">
        <f>INDEX(SOAL!$K:$K,BF1+2)</f>
        <v>B</v>
      </c>
      <c r="BG2" s="38" t="str">
        <f>INDEX(SOAL!$K:$K,BG1+2)</f>
        <v>B</v>
      </c>
      <c r="BH2" s="38" t="str">
        <f>INDEX(SOAL!$K:$K,BH1+2)</f>
        <v>-B</v>
      </c>
      <c r="BI2" s="38" t="str">
        <f>INDEX(SOAL!$K:$K,BI1+2)</f>
        <v>-B</v>
      </c>
      <c r="BJ2" s="38" t="str">
        <f>INDEX(SOAL!$K:$K,BJ1+2)</f>
        <v>B</v>
      </c>
      <c r="BK2" s="38" t="str">
        <f>INDEX(SOAL!$K:$K,BK1+2)</f>
        <v>B</v>
      </c>
      <c r="BL2" s="38" t="str">
        <f>INDEX(SOAL!$K:$K,BL1+2)</f>
        <v>-B</v>
      </c>
      <c r="BM2" s="38" t="str">
        <f>INDEX(SOAL!$K:$K,BM1+2)</f>
        <v>-B</v>
      </c>
      <c r="BN2" s="38" t="str">
        <f>INDEX(SOAL!$K:$K,BN1+2)</f>
        <v>-B</v>
      </c>
      <c r="BO2" s="38" t="str">
        <f>INDEX(SOAL!$K:$K,BO1+2)</f>
        <v>B</v>
      </c>
      <c r="BP2" s="38" t="str">
        <f>INDEX(SOAL!$K:$K,BP1+2)</f>
        <v>-B</v>
      </c>
      <c r="BQ2" s="38" t="str">
        <f>INDEX(SOAL!$K:$K,BQ1+2)</f>
        <v>B</v>
      </c>
      <c r="BR2" s="38" t="str">
        <f>INDEX(SOAL!$K:$K,BR1+2)</f>
        <v>-B</v>
      </c>
      <c r="BS2" s="38" t="str">
        <f>INDEX(SOAL!$K:$K,BS1+2)</f>
        <v>-B</v>
      </c>
      <c r="BT2" s="38" t="str">
        <f>INDEX(SOAL!$K:$K,BT1+2)</f>
        <v>B</v>
      </c>
      <c r="BU2" s="38" t="str">
        <f>INDEX(SOAL!$K:$K,BU1+2)</f>
        <v>B</v>
      </c>
      <c r="BV2" s="38" t="str">
        <f>INDEX(SOAL!$K:$K,BV1+2)</f>
        <v>-B</v>
      </c>
      <c r="BW2" s="38" t="str">
        <f>INDEX(SOAL!$K:$K,BW1+2)</f>
        <v>-B</v>
      </c>
      <c r="BX2" s="38" t="str">
        <f>INDEX(SOAL!$K:$K,BX1+2)</f>
        <v>-B</v>
      </c>
      <c r="BY2" s="38" t="str">
        <f>INDEX(SOAL!$K:$K,BY1+2)</f>
        <v>-B</v>
      </c>
      <c r="BZ2" s="38" t="str">
        <f>INDEX(SOAL!$K:$K,BZ1+2)</f>
        <v>B</v>
      </c>
      <c r="CA2" s="38" t="str">
        <f>INDEX(SOAL!$K:$K,CA1+2)</f>
        <v>-B</v>
      </c>
      <c r="CB2" s="38" t="str">
        <f>INDEX(SOAL!$K:$K,CB1+2)</f>
        <v>B</v>
      </c>
      <c r="CC2" s="38" t="str">
        <f>INDEX(SOAL!$K:$K,CC1+2)</f>
        <v>B</v>
      </c>
      <c r="CD2" s="38" t="str">
        <f>INDEX(SOAL!$K:$K,CD1+2)</f>
        <v>B</v>
      </c>
      <c r="CE2" s="38" t="str">
        <f>INDEX(SOAL!$K:$K,CE1+2)</f>
        <v>-B</v>
      </c>
      <c r="CF2" s="38" t="str">
        <f>INDEX(SOAL!$K:$K,CF1+2)</f>
        <v>-B</v>
      </c>
      <c r="CG2" s="38" t="str">
        <f>INDEX(SOAL!$K:$K,CG1+2)</f>
        <v>-B</v>
      </c>
      <c r="CH2" s="38" t="str">
        <f>INDEX(SOAL!$K:$K,CH1+2)</f>
        <v>B</v>
      </c>
      <c r="CI2" s="38" t="str">
        <f>INDEX(SOAL!$K:$K,CI1+2)</f>
        <v>B</v>
      </c>
      <c r="CJ2" s="38" t="str">
        <f>INDEX(SOAL!$K:$K,CJ1+2)</f>
        <v>-B</v>
      </c>
      <c r="CK2" s="38" t="str">
        <f>INDEX(SOAL!$K:$K,CK1+2)</f>
        <v>-B</v>
      </c>
      <c r="CL2" s="38" t="str">
        <f>INDEX(SOAL!$K:$K,CL1+2)</f>
        <v>-B</v>
      </c>
      <c r="CM2" s="38" t="str">
        <f>INDEX(SOAL!$K:$K,CM1+2)</f>
        <v>-B</v>
      </c>
      <c r="CN2" s="38" t="str">
        <f>INDEX(SOAL!$K:$K,CN1+2)</f>
        <v>B</v>
      </c>
      <c r="CO2" s="38" t="str">
        <f>INDEX(SOAL!$K:$K,CO1+2)</f>
        <v>B</v>
      </c>
      <c r="CP2" s="38" t="str">
        <f>INDEX(SOAL!$K:$K,CP1+2)</f>
        <v>-B</v>
      </c>
      <c r="CQ2" s="38" t="str">
        <f>INDEX(SOAL!$K:$K,CQ1+2)</f>
        <v>-B</v>
      </c>
      <c r="CR2" s="38" t="str">
        <f>INDEX(SOAL!$K:$K,CR1+2)</f>
        <v>E</v>
      </c>
      <c r="CS2" s="38" t="str">
        <f>INDEX(SOAL!$K:$K,CS1+2)</f>
        <v>A</v>
      </c>
      <c r="CT2" s="38" t="str">
        <f>INDEX(SOAL!$K:$K,CT1+2)</f>
        <v>B</v>
      </c>
      <c r="CU2" s="38" t="str">
        <f>INDEX(SOAL!$K:$K,CU1+2)</f>
        <v>C</v>
      </c>
      <c r="CV2" s="38" t="str">
        <f>INDEX(SOAL!$K:$K,CV1+2)</f>
        <v>D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2025-09-21T12:35:00Z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