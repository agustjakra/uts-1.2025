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<sst xmlns="http://schemas.openxmlformats.org/spreadsheetml/2006/main" count="1029" uniqueCount="526">
  <si>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</si>
  <si>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</si>
  <si>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</si>
  <si>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</si>
  <si>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</si>
  <si>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</si>
  <si>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</si>
  <si>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</si>
  <si>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</si>
  <si>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</si>
  <si>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</si>
  <si>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</si>
  <si>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</si>
  <si>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</si>
  <si>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</si>
  <si>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</si>
  <si>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</si>
  <si>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</si>
  <si>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</si>
  <si>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</si>
  <si>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</si>
  <si>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</si>
  <si>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</si>
  <si>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</si>
  <si>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</si>
  <si>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</si>
  <si>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</si>
  <si>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</si>
  <si>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</si>
  <si>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</si>
  <si>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</si>
  <si>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</si>
  <si>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</si>
  <si>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</si>
  <si>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</si>
  <si>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</si>
  <si>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</si>
  <si>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</si>
  <si>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</si>
  <si>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</si>
  <si>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</si>
  <si>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</si>
  <si>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</si>
  <si>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</si>
  <si>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</si>
  <si>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</si>
  <si>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</si>
  <si>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</si>
  <si>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</si>
  <si>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</si>
  <si>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</si>
  <si>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</si>
  <si>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OK</t>
  </si>
  <si>
    <t>ADMIN</t>
  </si>
  <si>
    <t>KELAS 10-1</t>
  </si>
  <si>
    <t>SMA NEGERI 1 MUNCAR</t>
  </si>
  <si>
    <t>;;;;;;;</t>
  </si>
  <si>
    <t>X</t>
  </si>
  <si>
    <t>EKONOMI 10</t>
  </si>
  <si>
    <t>Xenophon</t>
  </si>
  <si>
    <t>Adam Smith</t>
  </si>
  <si>
    <t>Literasi keuangan</t>
  </si>
  <si>
    <t>Sufficient literate</t>
  </si>
  <si>
    <t>Sumber daya manusia (SDM) ahli di bidang tersebut</t>
  </si>
  <si>
    <t>B</t>
  </si>
  <si>
    <t>C</t>
  </si>
  <si>
    <t>D</t>
  </si>
  <si>
    <t>E</t>
  </si>
  <si>
    <t>A</t>
  </si>
  <si>
    <t>S</t>
  </si>
  <si>
    <t>F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</si>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</sst>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F7" sqref="F7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49</v>
      </c>
      <c r="E1" s="25"/>
      <c r="F1" s="25"/>
      <c r="G1" s="25"/>
      <c r="H1" s="25"/>
      <c r="I1" s="11"/>
      <c r="J1" s="77" t="s">
        <v>31</v>
      </c>
      <c r="K1" s="77" t="s">
        <v>33</v>
      </c>
      <c r="L1" s="77" t="s">
        <v>34</v>
      </c>
      <c r="M1" s="77" t="s">
        <v>32</v>
      </c>
      <c r="N1" s="77" t="s">
        <v>37</v>
      </c>
      <c r="O1" s="77" t="s">
        <v>36</v>
      </c>
      <c r="P1" s="11"/>
    </row>
    <row r="2" spans="2:21" ht="21" x14ac:dyDescent="0.35">
      <c r="B2" s="9"/>
      <c r="C2" s="14" t="s">
        <v>1</v>
      </c>
      <c r="D2" s="31" t="s">
        <v>58</v>
      </c>
      <c r="E2" s="12"/>
      <c r="F2" s="12"/>
      <c r="G2" s="25"/>
      <c r="H2" s="12"/>
      <c r="I2" s="11"/>
      <c r="J2" s="78"/>
      <c r="K2" s="78"/>
      <c r="L2" s="78"/>
      <c r="M2" s="78"/>
      <c r="N2" s="77"/>
      <c r="O2" s="78"/>
      <c r="P2" s="11"/>
    </row>
    <row r="3" spans="2:21" ht="15" customHeight="1" x14ac:dyDescent="0.25">
      <c r="B3" s="9"/>
      <c r="C3" s="14" t="s">
        <v>2</v>
      </c>
      <c r="D3" s="32" t="str">
        <f>D2</f>
        <v>EKONOMI 10</v>
      </c>
      <c r="E3" s="12"/>
      <c r="F3" s="33" t="s">
        <v>35</v>
      </c>
      <c r="G3" s="79">
        <v>12345</v>
      </c>
      <c r="H3" s="79"/>
      <c r="I3" s="11"/>
      <c r="J3" s="9">
        <v>1</v>
      </c>
      <c r="K3" s="36" t="s">
        <v>57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50</v>
      </c>
      <c r="E4" s="12"/>
      <c r="F4" s="12"/>
      <c r="G4" s="12"/>
      <c r="H4" s="12"/>
      <c r="I4" s="11"/>
      <c r="J4" s="9">
        <f>J3+1</f>
        <v>2</v>
      </c>
      <c r="K4" s="36" t="s">
        <v>64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EKONOMI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68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525</v>
      </c>
      <c r="E6" s="15" t="s">
        <v>6</v>
      </c>
      <c r="F6" s="35" t="s">
        <v>51</v>
      </c>
      <c r="G6" s="15" t="s">
        <v>6</v>
      </c>
      <c r="H6" s="22" t="s">
        <v>48</v>
      </c>
      <c r="I6" s="11"/>
      <c r="J6" s="9">
        <f t="shared" si="0"/>
        <v>4</v>
      </c>
      <c r="K6" s="36" t="s">
        <v>65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51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66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6">
        <v>90</v>
      </c>
      <c r="E8" s="76"/>
      <c r="F8" s="12"/>
      <c r="G8" s="12"/>
      <c r="H8" s="12"/>
      <c r="I8" s="11"/>
      <c r="J8" s="9">
        <f t="shared" si="0"/>
        <v>6</v>
      </c>
      <c r="K8" s="36" t="s">
        <v>68</v>
      </c>
      <c r="L8" s="29">
        <v>2</v>
      </c>
      <c r="M8" s="9"/>
      <c r="N8" s="9"/>
      <c r="O8" s="27"/>
      <c r="P8" s="11"/>
      <c r="R8" s="72" t="s">
        <v>47</v>
      </c>
      <c r="S8" s="73"/>
      <c r="T8" s="73"/>
      <c r="U8" s="74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67</v>
      </c>
      <c r="L9" s="29">
        <v>2</v>
      </c>
      <c r="M9" s="9"/>
      <c r="N9" s="9"/>
      <c r="O9" s="27"/>
      <c r="P9" s="11"/>
      <c r="R9" s="75" t="s">
        <v>52</v>
      </c>
      <c r="S9" s="76"/>
      <c r="T9" s="76"/>
      <c r="U9" s="76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68</v>
      </c>
      <c r="L10" s="29">
        <v>2</v>
      </c>
      <c r="M10" s="9"/>
      <c r="N10" s="9"/>
      <c r="O10" s="27"/>
      <c r="R10" s="76"/>
      <c r="S10" s="76"/>
      <c r="T10" s="76"/>
      <c r="U10" s="76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66</v>
      </c>
      <c r="L11" s="29">
        <v>2</v>
      </c>
      <c r="M11" s="9"/>
      <c r="N11" s="9"/>
      <c r="O11" s="27"/>
      <c r="R11" s="76"/>
      <c r="S11" s="76"/>
      <c r="T11" s="76"/>
      <c r="U11" s="76"/>
    </row>
    <row r="12" spans="2:21" x14ac:dyDescent="0.25">
      <c r="C12" s="20"/>
      <c r="D12" s="20"/>
      <c r="E12" s="20"/>
      <c r="J12" s="9">
        <f t="shared" si="0"/>
        <v>10</v>
      </c>
      <c r="K12" s="36" t="s">
        <v>65</v>
      </c>
      <c r="L12" s="29">
        <v>2</v>
      </c>
      <c r="M12" s="9"/>
      <c r="N12" s="9"/>
      <c r="O12" s="27"/>
      <c r="R12" s="76"/>
      <c r="S12" s="76"/>
      <c r="T12" s="76"/>
      <c r="U12" s="76"/>
    </row>
    <row r="13" spans="2:21" x14ac:dyDescent="0.25">
      <c r="C13" s="20"/>
      <c r="D13" s="20"/>
      <c r="E13" s="20"/>
      <c r="J13" s="9">
        <f t="shared" si="0"/>
        <v>11</v>
      </c>
      <c r="K13" s="36" t="s">
        <v>68</v>
      </c>
      <c r="L13" s="29">
        <v>2</v>
      </c>
      <c r="M13" s="9"/>
      <c r="N13" s="9"/>
      <c r="O13" s="27"/>
      <c r="R13" s="76"/>
      <c r="S13" s="76"/>
      <c r="T13" s="76"/>
      <c r="U13" s="76"/>
    </row>
    <row r="14" spans="2:21" ht="15.75" x14ac:dyDescent="0.25">
      <c r="B14" s="21"/>
      <c r="C14" s="80" t="s">
        <v>40</v>
      </c>
      <c r="D14" s="80"/>
      <c r="E14" s="80"/>
      <c r="F14" s="41"/>
      <c r="G14" s="41"/>
      <c r="H14" s="42"/>
      <c r="J14" s="9">
        <f t="shared" si="0"/>
        <v>12</v>
      </c>
      <c r="K14" s="36" t="s">
        <v>68</v>
      </c>
      <c r="L14" s="29">
        <v>2</v>
      </c>
      <c r="M14" s="9"/>
      <c r="N14" s="9"/>
      <c r="O14" s="27"/>
      <c r="R14" s="76"/>
      <c r="S14" s="76"/>
      <c r="T14" s="76"/>
      <c r="U14" s="76"/>
    </row>
    <row r="15" spans="2:21" x14ac:dyDescent="0.25">
      <c r="B15" s="13"/>
      <c r="C15" s="17" t="s">
        <v>41</v>
      </c>
      <c r="D15" s="17" t="s">
        <v>42</v>
      </c>
      <c r="E15" s="17" t="s">
        <v>43</v>
      </c>
      <c r="G15" s="21"/>
      <c r="J15" s="9">
        <f t="shared" si="0"/>
        <v>13</v>
      </c>
      <c r="K15" s="36" t="s">
        <v>67</v>
      </c>
      <c r="L15" s="29">
        <v>2</v>
      </c>
      <c r="M15" s="9"/>
      <c r="N15" s="9"/>
      <c r="O15" s="27"/>
      <c r="R15" s="76"/>
      <c r="S15" s="76"/>
      <c r="T15" s="76"/>
      <c r="U15" s="76"/>
    </row>
    <row r="16" spans="2:21" x14ac:dyDescent="0.25">
      <c r="B16" s="13"/>
      <c r="C16" s="17"/>
      <c r="G16" s="13"/>
      <c r="J16" s="9">
        <f t="shared" si="0"/>
        <v>14</v>
      </c>
      <c r="K16" s="36" t="s">
        <v>66</v>
      </c>
      <c r="L16" s="29">
        <v>2</v>
      </c>
      <c r="M16" s="9"/>
      <c r="N16" s="9"/>
      <c r="O16" s="27"/>
      <c r="R16" s="76"/>
      <c r="S16" s="76"/>
      <c r="T16" s="76"/>
      <c r="U16" s="76"/>
    </row>
    <row r="17" spans="2:21" x14ac:dyDescent="0.25">
      <c r="B17" s="13"/>
      <c r="C17" s="17"/>
      <c r="G17" s="13"/>
      <c r="J17" s="9">
        <f t="shared" si="0"/>
        <v>15</v>
      </c>
      <c r="K17" s="36" t="s">
        <v>65</v>
      </c>
      <c r="L17" s="29">
        <v>2</v>
      </c>
      <c r="M17" s="9"/>
      <c r="N17" s="9"/>
      <c r="O17" s="27"/>
      <c r="R17" s="76"/>
      <c r="S17" s="76"/>
      <c r="T17" s="76"/>
      <c r="U17" s="76"/>
    </row>
    <row r="18" spans="2:21" x14ac:dyDescent="0.25">
      <c r="B18" s="13"/>
      <c r="C18" s="17"/>
      <c r="G18" s="13"/>
      <c r="J18" s="9">
        <f t="shared" si="0"/>
        <v>16</v>
      </c>
      <c r="K18" s="36" t="s">
        <v>68</v>
      </c>
      <c r="L18" s="29">
        <v>2</v>
      </c>
      <c r="M18" s="9"/>
      <c r="N18" s="9"/>
      <c r="O18" s="27"/>
      <c r="R18" s="76"/>
      <c r="S18" s="76"/>
      <c r="T18" s="76"/>
      <c r="U18" s="76"/>
    </row>
    <row r="19" spans="2:21" x14ac:dyDescent="0.25">
      <c r="B19" s="13"/>
      <c r="C19" s="17"/>
      <c r="G19" s="13"/>
      <c r="J19" s="9">
        <f t="shared" si="0"/>
        <v>17</v>
      </c>
      <c r="K19" s="36" t="s">
        <v>57</v>
      </c>
      <c r="L19" s="29">
        <v>0</v>
      </c>
      <c r="M19" s="9"/>
      <c r="N19" s="9"/>
      <c r="O19" s="27"/>
      <c r="R19" s="76"/>
      <c r="S19" s="76"/>
      <c r="T19" s="76"/>
      <c r="U19" s="76"/>
    </row>
    <row r="20" spans="2:21" x14ac:dyDescent="0.25">
      <c r="B20" s="13"/>
      <c r="C20" s="17"/>
      <c r="G20" s="13"/>
      <c r="J20" s="9">
        <f t="shared" si="0"/>
        <v>18</v>
      </c>
      <c r="K20" s="36" t="s">
        <v>57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57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57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57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57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57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57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57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57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57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59</v>
      </c>
      <c r="L30" s="29">
        <v>4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60</v>
      </c>
      <c r="L31" s="29">
        <v>3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61</v>
      </c>
      <c r="L32" s="29">
        <v>3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62</v>
      </c>
      <c r="L33" s="29">
        <v>3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63</v>
      </c>
      <c r="L34" s="29">
        <v>4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69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69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64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69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64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64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64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/>
      <c r="L43" s="29"/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 t="s">
        <v>64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64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64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 t="s">
        <v>64</v>
      </c>
      <c r="L48" s="29">
        <v>1</v>
      </c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 t="s">
        <v>64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/>
      <c r="L51" s="29"/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 t="s">
        <v>64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 t="s">
        <v>64</v>
      </c>
      <c r="L54" s="29">
        <v>1</v>
      </c>
      <c r="M54" s="9"/>
      <c r="N54" s="9"/>
      <c r="O54" s="27"/>
    </row>
    <row r="55" spans="3:15" x14ac:dyDescent="0.25">
      <c r="J55" s="59">
        <v>20001</v>
      </c>
      <c r="K55" s="69" t="s">
        <v>64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 t="s">
        <v>64</v>
      </c>
      <c r="L56" s="29">
        <v>1</v>
      </c>
      <c r="M56" s="9"/>
      <c r="N56" s="9"/>
      <c r="O56" s="27"/>
    </row>
    <row r="57" spans="3:15" x14ac:dyDescent="0.25">
      <c r="J57" s="59">
        <f t="shared" si="0"/>
        <v>20003</v>
      </c>
      <c r="K57" s="36"/>
      <c r="L57" s="29"/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 t="s">
        <v>64</v>
      </c>
      <c r="L59" s="29">
        <v>1</v>
      </c>
      <c r="M59" s="9"/>
      <c r="N59" s="9"/>
      <c r="O59" s="27"/>
    </row>
    <row r="60" spans="3:15" x14ac:dyDescent="0.25">
      <c r="J60" s="59">
        <v>21001</v>
      </c>
      <c r="K60" s="69" t="s">
        <v>64</v>
      </c>
      <c r="L60" s="29">
        <v>1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64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 t="s">
        <v>64</v>
      </c>
      <c r="L63" s="59">
        <v>1</v>
      </c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64</v>
      </c>
      <c r="L65" s="29">
        <v>1</v>
      </c>
    </row>
    <row r="66" spans="10:12" x14ac:dyDescent="0.25">
      <c r="J66" s="59">
        <f t="shared" ref="J66:J94" si="1">J65+1</f>
        <v>22002</v>
      </c>
      <c r="K66" s="27"/>
      <c r="L66" s="59"/>
    </row>
    <row r="67" spans="10:12" x14ac:dyDescent="0.25">
      <c r="J67" s="59">
        <f t="shared" si="1"/>
        <v>22003</v>
      </c>
      <c r="K67" s="27" t="s">
        <v>64</v>
      </c>
      <c r="L67" s="59">
        <v>1</v>
      </c>
    </row>
    <row r="68" spans="10:12" x14ac:dyDescent="0.25">
      <c r="J68" s="59">
        <f t="shared" si="1"/>
        <v>22004</v>
      </c>
      <c r="K68" s="69" t="s">
        <v>64</v>
      </c>
      <c r="L68" s="29">
        <v>1</v>
      </c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 t="s">
        <v>64</v>
      </c>
      <c r="L70" s="29">
        <v>1</v>
      </c>
    </row>
    <row r="71" spans="10:12" x14ac:dyDescent="0.25">
      <c r="J71" s="59">
        <f t="shared" si="1"/>
        <v>23002</v>
      </c>
      <c r="K71" s="69" t="s">
        <v>64</v>
      </c>
      <c r="L71" s="29">
        <v>1</v>
      </c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/>
      <c r="L73" s="29"/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/>
      <c r="L75" s="59"/>
    </row>
    <row r="76" spans="10:12" x14ac:dyDescent="0.25">
      <c r="J76" s="59">
        <f t="shared" si="1"/>
        <v>24002</v>
      </c>
      <c r="K76" s="27" t="s">
        <v>64</v>
      </c>
      <c r="L76" s="59">
        <v>1</v>
      </c>
    </row>
    <row r="77" spans="10:12" x14ac:dyDescent="0.25">
      <c r="J77" s="59">
        <f t="shared" si="1"/>
        <v>24003</v>
      </c>
      <c r="K77" s="69"/>
      <c r="L77" s="29"/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 t="s">
        <v>64</v>
      </c>
      <c r="L79" s="29">
        <v>1</v>
      </c>
    </row>
    <row r="80" spans="10:12" x14ac:dyDescent="0.25">
      <c r="J80" s="59">
        <v>25001</v>
      </c>
      <c r="K80" s="27" t="s">
        <v>64</v>
      </c>
      <c r="L80" s="59">
        <v>1</v>
      </c>
    </row>
    <row r="81" spans="10:12" x14ac:dyDescent="0.25">
      <c r="J81" s="59">
        <f t="shared" si="1"/>
        <v>25002</v>
      </c>
      <c r="K81" s="27" t="s">
        <v>64</v>
      </c>
      <c r="L81" s="59">
        <v>1</v>
      </c>
    </row>
    <row r="82" spans="10:12" x14ac:dyDescent="0.25">
      <c r="J82" s="59">
        <f t="shared" si="1"/>
        <v>25003</v>
      </c>
      <c r="K82" s="69" t="s">
        <v>64</v>
      </c>
      <c r="L82" s="29">
        <v>1</v>
      </c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 t="s">
        <v>64</v>
      </c>
      <c r="L84" s="29">
        <v>1</v>
      </c>
    </row>
    <row r="85" spans="10:12" x14ac:dyDescent="0.25">
      <c r="J85" s="59">
        <v>26001</v>
      </c>
      <c r="K85" s="69" t="s">
        <v>64</v>
      </c>
      <c r="L85" s="29">
        <v>1</v>
      </c>
    </row>
    <row r="86" spans="10:12" x14ac:dyDescent="0.25">
      <c r="J86" s="59">
        <f t="shared" si="1"/>
        <v>26002</v>
      </c>
      <c r="K86" s="27" t="s">
        <v>64</v>
      </c>
      <c r="L86" s="59">
        <v>1</v>
      </c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 t="s">
        <v>67</v>
      </c>
      <c r="L90" s="59">
        <v>3</v>
      </c>
    </row>
    <row r="91" spans="10:12" x14ac:dyDescent="0.25">
      <c r="J91" s="59">
        <f t="shared" si="1"/>
        <v>27002</v>
      </c>
      <c r="K91" s="27" t="s">
        <v>70</v>
      </c>
      <c r="L91" s="59">
        <v>3</v>
      </c>
    </row>
    <row r="92" spans="10:12" x14ac:dyDescent="0.25">
      <c r="J92" s="59">
        <f t="shared" si="1"/>
        <v>27003</v>
      </c>
      <c r="K92" s="27" t="s">
        <v>66</v>
      </c>
      <c r="L92" s="59">
        <v>3</v>
      </c>
    </row>
    <row r="93" spans="10:12" x14ac:dyDescent="0.25">
      <c r="J93" s="59">
        <f t="shared" si="1"/>
        <v>27004</v>
      </c>
      <c r="K93" s="27" t="s">
        <v>64</v>
      </c>
      <c r="L93" s="59">
        <v>3</v>
      </c>
    </row>
    <row r="94" spans="10:12" x14ac:dyDescent="0.25">
      <c r="J94" s="59">
        <f t="shared" si="1"/>
        <v>27005</v>
      </c>
      <c r="K94" s="27" t="s">
        <v>68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0">
        <v>1</v>
      </c>
      <c r="C4" s="70">
        <v>1</v>
      </c>
      <c r="D4" s="71" t="s">
        <v>53</v>
      </c>
      <c r="E4" s="70">
        <v>1</v>
      </c>
      <c r="F4" s="70" t="s">
        <v>54</v>
      </c>
      <c r="G4" s="70" t="s">
        <v>55</v>
      </c>
      <c r="H4" s="70">
        <v>1</v>
      </c>
      <c r="I4" s="70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0">
        <v>2</v>
      </c>
      <c r="C5" s="70">
        <v>11001</v>
      </c>
      <c r="D5" s="71" t="s">
        <v>71</v>
      </c>
      <c r="E5" s="70" t="s">
        <v>72</v>
      </c>
      <c r="F5" s="70" t="s">
        <v>54</v>
      </c>
      <c r="G5" s="70" t="s">
        <v>55</v>
      </c>
      <c r="H5" s="70">
        <v>1</v>
      </c>
      <c r="I5" s="70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0">
        <v>3</v>
      </c>
      <c r="C6" s="70">
        <v>11002</v>
      </c>
      <c r="D6" s="71" t="s">
        <v>73</v>
      </c>
      <c r="E6" s="70" t="s">
        <v>74</v>
      </c>
      <c r="F6" s="70" t="s">
        <v>54</v>
      </c>
      <c r="G6" s="70" t="s">
        <v>55</v>
      </c>
      <c r="H6" s="70">
        <v>1</v>
      </c>
      <c r="I6" s="70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0">
        <v>4</v>
      </c>
      <c r="C7" s="70">
        <v>11003</v>
      </c>
      <c r="D7" s="71" t="s">
        <v>75</v>
      </c>
      <c r="E7" s="70" t="s">
        <v>76</v>
      </c>
      <c r="F7" s="70" t="s">
        <v>54</v>
      </c>
      <c r="G7" s="70" t="s">
        <v>55</v>
      </c>
      <c r="H7" s="70">
        <v>1</v>
      </c>
      <c r="I7" s="70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0">
        <v>5</v>
      </c>
      <c r="C8" s="70">
        <v>11004</v>
      </c>
      <c r="D8" s="71" t="s">
        <v>77</v>
      </c>
      <c r="E8" s="70" t="s">
        <v>78</v>
      </c>
      <c r="F8" s="70" t="s">
        <v>54</v>
      </c>
      <c r="G8" s="70" t="s">
        <v>55</v>
      </c>
      <c r="H8" s="70">
        <v>1</v>
      </c>
      <c r="I8" s="70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0">
        <v>6</v>
      </c>
      <c r="C9" s="70">
        <v>11005</v>
      </c>
      <c r="D9" s="71" t="s">
        <v>79</v>
      </c>
      <c r="E9" s="70" t="s">
        <v>80</v>
      </c>
      <c r="F9" s="70" t="s">
        <v>54</v>
      </c>
      <c r="G9" s="70" t="s">
        <v>55</v>
      </c>
      <c r="H9" s="70">
        <v>1</v>
      </c>
      <c r="I9" s="70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1" t="s">
        <v>39</v>
      </c>
      <c r="O9" s="81"/>
      <c r="Q9">
        <f>COUNTIF(L:L,"Mengerjakan")</f>
        <v>0</v>
      </c>
    </row>
    <row r="10" spans="2:17" ht="18.75" x14ac:dyDescent="0.3">
      <c r="B10" s="70">
        <v>7</v>
      </c>
      <c r="C10" s="70">
        <v>11006</v>
      </c>
      <c r="D10" s="71" t="s">
        <v>81</v>
      </c>
      <c r="E10" s="70" t="s">
        <v>82</v>
      </c>
      <c r="F10" s="70" t="s">
        <v>54</v>
      </c>
      <c r="G10" s="70" t="s">
        <v>55</v>
      </c>
      <c r="H10" s="70">
        <v>1</v>
      </c>
      <c r="I10" s="70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0">
        <v>8</v>
      </c>
      <c r="C11" s="70">
        <v>11007</v>
      </c>
      <c r="D11" s="71" t="s">
        <v>83</v>
      </c>
      <c r="E11" s="70" t="s">
        <v>84</v>
      </c>
      <c r="F11" s="70" t="s">
        <v>54</v>
      </c>
      <c r="G11" s="70" t="s">
        <v>55</v>
      </c>
      <c r="H11" s="70">
        <v>1</v>
      </c>
      <c r="I11" s="70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2" t="s">
        <v>38</v>
      </c>
      <c r="O11" s="82"/>
      <c r="Q11">
        <f>COUNTIF(L:L,"Selesai")</f>
        <v>0</v>
      </c>
    </row>
    <row r="12" spans="2:17" ht="18.75" x14ac:dyDescent="0.3">
      <c r="B12" s="70">
        <v>9</v>
      </c>
      <c r="C12" s="70">
        <v>11008</v>
      </c>
      <c r="D12" s="71" t="s">
        <v>85</v>
      </c>
      <c r="E12" s="70" t="s">
        <v>86</v>
      </c>
      <c r="F12" s="70" t="s">
        <v>54</v>
      </c>
      <c r="G12" s="70" t="s">
        <v>55</v>
      </c>
      <c r="H12" s="70">
        <v>1</v>
      </c>
      <c r="I12" s="70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0">
        <v>10</v>
      </c>
      <c r="C13" s="70">
        <v>11009</v>
      </c>
      <c r="D13" s="71" t="s">
        <v>87</v>
      </c>
      <c r="E13" s="70" t="s">
        <v>88</v>
      </c>
      <c r="F13" s="70" t="s">
        <v>54</v>
      </c>
      <c r="G13" s="70" t="s">
        <v>55</v>
      </c>
      <c r="H13" s="70">
        <v>1</v>
      </c>
      <c r="I13" s="70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3" t="s">
        <v>45</v>
      </c>
      <c r="O13" s="83"/>
      <c r="Q13">
        <f>COUNTIF(L:L,"Logout")</f>
        <v>0</v>
      </c>
    </row>
    <row r="14" spans="2:17" ht="18.75" x14ac:dyDescent="0.3">
      <c r="B14" s="70">
        <v>11</v>
      </c>
      <c r="C14" s="70">
        <v>11010</v>
      </c>
      <c r="D14" s="71" t="s">
        <v>89</v>
      </c>
      <c r="E14" s="70" t="s">
        <v>90</v>
      </c>
      <c r="F14" s="70" t="s">
        <v>54</v>
      </c>
      <c r="G14" s="70" t="s">
        <v>55</v>
      </c>
      <c r="H14" s="70">
        <v>1</v>
      </c>
      <c r="I14" s="70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0">
        <v>12</v>
      </c>
      <c r="C15" s="70">
        <v>11011</v>
      </c>
      <c r="D15" s="71" t="s">
        <v>91</v>
      </c>
      <c r="E15" s="70" t="s">
        <v>92</v>
      </c>
      <c r="F15" s="70" t="s">
        <v>54</v>
      </c>
      <c r="G15" s="70" t="s">
        <v>55</v>
      </c>
      <c r="H15" s="70">
        <v>1</v>
      </c>
      <c r="I15" s="70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4" t="s">
        <v>46</v>
      </c>
      <c r="O15" s="84"/>
      <c r="Q15">
        <f>COUNTIF(L:L,"-")</f>
        <v>75</v>
      </c>
    </row>
    <row r="16" spans="2:17" ht="18.75" x14ac:dyDescent="0.3">
      <c r="B16" s="70">
        <v>13</v>
      </c>
      <c r="C16" s="70">
        <v>11012</v>
      </c>
      <c r="D16" s="71" t="s">
        <v>93</v>
      </c>
      <c r="E16" s="70" t="s">
        <v>94</v>
      </c>
      <c r="F16" s="70" t="s">
        <v>54</v>
      </c>
      <c r="G16" s="70" t="s">
        <v>55</v>
      </c>
      <c r="H16" s="70">
        <v>1</v>
      </c>
      <c r="I16" s="70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0">
        <v>14</v>
      </c>
      <c r="C17" s="70">
        <v>11013</v>
      </c>
      <c r="D17" s="71" t="s">
        <v>95</v>
      </c>
      <c r="E17" s="70" t="s">
        <v>96</v>
      </c>
      <c r="F17" s="70" t="s">
        <v>54</v>
      </c>
      <c r="G17" s="70" t="s">
        <v>55</v>
      </c>
      <c r="H17" s="70">
        <v>1</v>
      </c>
      <c r="I17" s="70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0">
        <v>15</v>
      </c>
      <c r="C18" s="70">
        <v>11014</v>
      </c>
      <c r="D18" s="71" t="s">
        <v>97</v>
      </c>
      <c r="E18" s="70" t="s">
        <v>98</v>
      </c>
      <c r="F18" s="70" t="s">
        <v>54</v>
      </c>
      <c r="G18" s="70" t="s">
        <v>55</v>
      </c>
      <c r="H18" s="70">
        <v>1</v>
      </c>
      <c r="I18" s="70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0">
        <v>16</v>
      </c>
      <c r="C19" s="70">
        <v>11015</v>
      </c>
      <c r="D19" s="71" t="s">
        <v>99</v>
      </c>
      <c r="E19" s="70" t="s">
        <v>100</v>
      </c>
      <c r="F19" s="70" t="s">
        <v>54</v>
      </c>
      <c r="G19" s="70" t="s">
        <v>55</v>
      </c>
      <c r="H19" s="70">
        <v>1</v>
      </c>
      <c r="I19" s="70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0">
        <v>17</v>
      </c>
      <c r="C20" s="70">
        <v>11016</v>
      </c>
      <c r="D20" s="71" t="s">
        <v>101</v>
      </c>
      <c r="E20" s="70" t="s">
        <v>102</v>
      </c>
      <c r="F20" s="70" t="s">
        <v>54</v>
      </c>
      <c r="G20" s="70" t="s">
        <v>55</v>
      </c>
      <c r="H20" s="70">
        <v>1</v>
      </c>
      <c r="I20" s="70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0">
        <v>18</v>
      </c>
      <c r="C21" s="70">
        <v>11017</v>
      </c>
      <c r="D21" s="71" t="s">
        <v>103</v>
      </c>
      <c r="E21" s="70" t="s">
        <v>104</v>
      </c>
      <c r="F21" s="70" t="s">
        <v>54</v>
      </c>
      <c r="G21" s="70" t="s">
        <v>55</v>
      </c>
      <c r="H21" s="70">
        <v>1</v>
      </c>
      <c r="I21" s="70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0">
        <v>19</v>
      </c>
      <c r="C22" s="70">
        <v>11018</v>
      </c>
      <c r="D22" s="71" t="s">
        <v>105</v>
      </c>
      <c r="E22" s="70" t="s">
        <v>106</v>
      </c>
      <c r="F22" s="70" t="s">
        <v>54</v>
      </c>
      <c r="G22" s="70" t="s">
        <v>55</v>
      </c>
      <c r="H22" s="70">
        <v>1</v>
      </c>
      <c r="I22" s="70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0">
        <v>20</v>
      </c>
      <c r="C23" s="70">
        <v>11019</v>
      </c>
      <c r="D23" s="71" t="s">
        <v>107</v>
      </c>
      <c r="E23" s="70" t="s">
        <v>108</v>
      </c>
      <c r="F23" s="70" t="s">
        <v>54</v>
      </c>
      <c r="G23" s="70" t="s">
        <v>55</v>
      </c>
      <c r="H23" s="70">
        <v>1</v>
      </c>
      <c r="I23" s="70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0">
        <v>21</v>
      </c>
      <c r="C24" s="70">
        <v>11020</v>
      </c>
      <c r="D24" s="71" t="s">
        <v>109</v>
      </c>
      <c r="E24" s="70" t="s">
        <v>110</v>
      </c>
      <c r="F24" s="70" t="s">
        <v>54</v>
      </c>
      <c r="G24" s="70" t="s">
        <v>55</v>
      </c>
      <c r="H24" s="70">
        <v>1</v>
      </c>
      <c r="I24" s="70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0">
        <v>22</v>
      </c>
      <c r="C25" s="70">
        <v>11021</v>
      </c>
      <c r="D25" s="71" t="s">
        <v>111</v>
      </c>
      <c r="E25" s="70" t="s">
        <v>112</v>
      </c>
      <c r="F25" s="70" t="s">
        <v>54</v>
      </c>
      <c r="G25" s="70" t="s">
        <v>55</v>
      </c>
      <c r="H25" s="70">
        <v>1</v>
      </c>
      <c r="I25" s="70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0">
        <v>23</v>
      </c>
      <c r="C26" s="70">
        <v>11022</v>
      </c>
      <c r="D26" s="71" t="s">
        <v>113</v>
      </c>
      <c r="E26" s="70" t="s">
        <v>114</v>
      </c>
      <c r="F26" s="70" t="s">
        <v>54</v>
      </c>
      <c r="G26" s="70" t="s">
        <v>55</v>
      </c>
      <c r="H26" s="70">
        <v>1</v>
      </c>
      <c r="I26" s="70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0">
        <v>24</v>
      </c>
      <c r="C27" s="70">
        <v>11023</v>
      </c>
      <c r="D27" s="71" t="s">
        <v>115</v>
      </c>
      <c r="E27" s="70" t="s">
        <v>116</v>
      </c>
      <c r="F27" s="70" t="s">
        <v>54</v>
      </c>
      <c r="G27" s="70" t="s">
        <v>55</v>
      </c>
      <c r="H27" s="70">
        <v>1</v>
      </c>
      <c r="I27" s="70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0">
        <v>25</v>
      </c>
      <c r="C28" s="70">
        <v>11024</v>
      </c>
      <c r="D28" s="71" t="s">
        <v>117</v>
      </c>
      <c r="E28" s="70" t="s">
        <v>118</v>
      </c>
      <c r="F28" s="70" t="s">
        <v>54</v>
      </c>
      <c r="G28" s="70" t="s">
        <v>55</v>
      </c>
      <c r="H28" s="70">
        <v>1</v>
      </c>
      <c r="I28" s="70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0">
        <v>26</v>
      </c>
      <c r="C29" s="70">
        <v>11025</v>
      </c>
      <c r="D29" s="71" t="s">
        <v>119</v>
      </c>
      <c r="E29" s="70" t="s">
        <v>120</v>
      </c>
      <c r="F29" s="70" t="s">
        <v>54</v>
      </c>
      <c r="G29" s="70" t="s">
        <v>55</v>
      </c>
      <c r="H29" s="70">
        <v>1</v>
      </c>
      <c r="I29" s="70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0">
        <v>27</v>
      </c>
      <c r="C30" s="70">
        <v>11026</v>
      </c>
      <c r="D30" s="71" t="s">
        <v>121</v>
      </c>
      <c r="E30" s="70" t="s">
        <v>122</v>
      </c>
      <c r="F30" s="70" t="s">
        <v>54</v>
      </c>
      <c r="G30" s="70" t="s">
        <v>55</v>
      </c>
      <c r="H30" s="70">
        <v>1</v>
      </c>
      <c r="I30" s="70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0">
        <v>28</v>
      </c>
      <c r="C31" s="70">
        <v>11027</v>
      </c>
      <c r="D31" s="71" t="s">
        <v>123</v>
      </c>
      <c r="E31" s="70" t="s">
        <v>124</v>
      </c>
      <c r="F31" s="70" t="s">
        <v>54</v>
      </c>
      <c r="G31" s="70" t="s">
        <v>55</v>
      </c>
      <c r="H31" s="70">
        <v>1</v>
      </c>
      <c r="I31" s="70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0">
        <v>29</v>
      </c>
      <c r="C32" s="70">
        <v>11028</v>
      </c>
      <c r="D32" s="71" t="s">
        <v>125</v>
      </c>
      <c r="E32" s="70" t="s">
        <v>126</v>
      </c>
      <c r="F32" s="70" t="s">
        <v>54</v>
      </c>
      <c r="G32" s="70" t="s">
        <v>55</v>
      </c>
      <c r="H32" s="70">
        <v>1</v>
      </c>
      <c r="I32" s="70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0">
        <v>30</v>
      </c>
      <c r="C33" s="70">
        <v>11029</v>
      </c>
      <c r="D33" s="71" t="s">
        <v>127</v>
      </c>
      <c r="E33" s="70" t="s">
        <v>128</v>
      </c>
      <c r="F33" s="70" t="s">
        <v>54</v>
      </c>
      <c r="G33" s="70" t="s">
        <v>55</v>
      </c>
      <c r="H33" s="70">
        <v>1</v>
      </c>
      <c r="I33" s="70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0">
        <v>31</v>
      </c>
      <c r="C34" s="70">
        <v>11030</v>
      </c>
      <c r="D34" s="71" t="s">
        <v>129</v>
      </c>
      <c r="E34" s="70" t="s">
        <v>130</v>
      </c>
      <c r="F34" s="70" t="s">
        <v>54</v>
      </c>
      <c r="G34" s="70" t="s">
        <v>55</v>
      </c>
      <c r="H34" s="70">
        <v>1</v>
      </c>
      <c r="I34" s="70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0">
        <v>32</v>
      </c>
      <c r="C35" s="70">
        <v>11031</v>
      </c>
      <c r="D35" s="71" t="s">
        <v>131</v>
      </c>
      <c r="E35" s="70" t="s">
        <v>132</v>
      </c>
      <c r="F35" s="70" t="s">
        <v>54</v>
      </c>
      <c r="G35" s="70" t="s">
        <v>55</v>
      </c>
      <c r="H35" s="70">
        <v>1</v>
      </c>
      <c r="I35" s="70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0">
        <v>33</v>
      </c>
      <c r="C36" s="70">
        <v>11032</v>
      </c>
      <c r="D36" s="71" t="s">
        <v>133</v>
      </c>
      <c r="E36" s="70" t="s">
        <v>134</v>
      </c>
      <c r="F36" s="70" t="s">
        <v>54</v>
      </c>
      <c r="G36" s="70" t="s">
        <v>55</v>
      </c>
      <c r="H36" s="70">
        <v>1</v>
      </c>
      <c r="I36" s="70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0">
        <v>34</v>
      </c>
      <c r="C37" s="70">
        <v>12001</v>
      </c>
      <c r="D37" s="71" t="s">
        <v>135</v>
      </c>
      <c r="E37" s="70" t="s">
        <v>136</v>
      </c>
      <c r="F37" s="70" t="s">
        <v>137</v>
      </c>
      <c r="G37" s="70" t="s">
        <v>55</v>
      </c>
      <c r="H37" s="70">
        <v>1</v>
      </c>
      <c r="I37" s="70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0">
        <v>35</v>
      </c>
      <c r="C38" s="70">
        <v>12002</v>
      </c>
      <c r="D38" s="71" t="s">
        <v>138</v>
      </c>
      <c r="E38" s="70" t="s">
        <v>139</v>
      </c>
      <c r="F38" s="70" t="s">
        <v>137</v>
      </c>
      <c r="G38" s="70" t="s">
        <v>55</v>
      </c>
      <c r="H38" s="70">
        <v>1</v>
      </c>
      <c r="I38" s="70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0">
        <v>36</v>
      </c>
      <c r="C39" s="70">
        <v>12003</v>
      </c>
      <c r="D39" s="71" t="s">
        <v>140</v>
      </c>
      <c r="E39" s="70" t="s">
        <v>141</v>
      </c>
      <c r="F39" s="70" t="s">
        <v>137</v>
      </c>
      <c r="G39" s="70" t="s">
        <v>55</v>
      </c>
      <c r="H39" s="70">
        <v>1</v>
      </c>
      <c r="I39" s="70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0">
        <v>37</v>
      </c>
      <c r="C40" s="70">
        <v>12004</v>
      </c>
      <c r="D40" s="71" t="s">
        <v>142</v>
      </c>
      <c r="E40" s="70" t="s">
        <v>143</v>
      </c>
      <c r="F40" s="70" t="s">
        <v>137</v>
      </c>
      <c r="G40" s="70" t="s">
        <v>55</v>
      </c>
      <c r="H40" s="70">
        <v>1</v>
      </c>
      <c r="I40" s="70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0">
        <v>38</v>
      </c>
      <c r="C41" s="70">
        <v>12005</v>
      </c>
      <c r="D41" s="71" t="s">
        <v>144</v>
      </c>
      <c r="E41" s="70" t="s">
        <v>145</v>
      </c>
      <c r="F41" s="70" t="s">
        <v>137</v>
      </c>
      <c r="G41" s="70" t="s">
        <v>55</v>
      </c>
      <c r="H41" s="70">
        <v>1</v>
      </c>
      <c r="I41" s="70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0">
        <v>39</v>
      </c>
      <c r="C42" s="70">
        <v>12006</v>
      </c>
      <c r="D42" s="71" t="s">
        <v>146</v>
      </c>
      <c r="E42" s="70" t="s">
        <v>147</v>
      </c>
      <c r="F42" s="70" t="s">
        <v>137</v>
      </c>
      <c r="G42" s="70" t="s">
        <v>55</v>
      </c>
      <c r="H42" s="70">
        <v>1</v>
      </c>
      <c r="I42" s="70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0">
        <v>40</v>
      </c>
      <c r="C43" s="70">
        <v>12007</v>
      </c>
      <c r="D43" s="71" t="s">
        <v>148</v>
      </c>
      <c r="E43" s="70" t="s">
        <v>149</v>
      </c>
      <c r="F43" s="70" t="s">
        <v>137</v>
      </c>
      <c r="G43" s="70" t="s">
        <v>55</v>
      </c>
      <c r="H43" s="70">
        <v>1</v>
      </c>
      <c r="I43" s="70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0">
        <v>41</v>
      </c>
      <c r="C44" s="70">
        <v>12008</v>
      </c>
      <c r="D44" s="71" t="s">
        <v>150</v>
      </c>
      <c r="E44" s="70" t="s">
        <v>151</v>
      </c>
      <c r="F44" s="70" t="s">
        <v>137</v>
      </c>
      <c r="G44" s="70" t="s">
        <v>55</v>
      </c>
      <c r="H44" s="70">
        <v>1</v>
      </c>
      <c r="I44" s="70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0">
        <v>42</v>
      </c>
      <c r="C45" s="70">
        <v>12009</v>
      </c>
      <c r="D45" s="71" t="s">
        <v>152</v>
      </c>
      <c r="E45" s="70" t="s">
        <v>153</v>
      </c>
      <c r="F45" s="70" t="s">
        <v>137</v>
      </c>
      <c r="G45" s="70" t="s">
        <v>55</v>
      </c>
      <c r="H45" s="70">
        <v>1</v>
      </c>
      <c r="I45" s="70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0">
        <v>43</v>
      </c>
      <c r="C46" s="70">
        <v>12010</v>
      </c>
      <c r="D46" s="71" t="s">
        <v>154</v>
      </c>
      <c r="E46" s="70" t="s">
        <v>155</v>
      </c>
      <c r="F46" s="70" t="s">
        <v>137</v>
      </c>
      <c r="G46" s="70" t="s">
        <v>55</v>
      </c>
      <c r="H46" s="70">
        <v>1</v>
      </c>
      <c r="I46" s="70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0">
        <v>44</v>
      </c>
      <c r="C47" s="70">
        <v>12011</v>
      </c>
      <c r="D47" s="71" t="s">
        <v>156</v>
      </c>
      <c r="E47" s="70" t="s">
        <v>157</v>
      </c>
      <c r="F47" s="70" t="s">
        <v>137</v>
      </c>
      <c r="G47" s="70" t="s">
        <v>55</v>
      </c>
      <c r="H47" s="70">
        <v>1</v>
      </c>
      <c r="I47" s="70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0">
        <v>45</v>
      </c>
      <c r="C48" s="70">
        <v>12012</v>
      </c>
      <c r="D48" s="71" t="s">
        <v>158</v>
      </c>
      <c r="E48" s="70" t="s">
        <v>159</v>
      </c>
      <c r="F48" s="70" t="s">
        <v>137</v>
      </c>
      <c r="G48" s="70" t="s">
        <v>55</v>
      </c>
      <c r="H48" s="70">
        <v>1</v>
      </c>
      <c r="I48" s="70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0">
        <v>46</v>
      </c>
      <c r="C49" s="70">
        <v>12013</v>
      </c>
      <c r="D49" s="71" t="s">
        <v>160</v>
      </c>
      <c r="E49" s="70" t="s">
        <v>161</v>
      </c>
      <c r="F49" s="70" t="s">
        <v>137</v>
      </c>
      <c r="G49" s="70" t="s">
        <v>55</v>
      </c>
      <c r="H49" s="70">
        <v>1</v>
      </c>
      <c r="I49" s="70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0">
        <v>47</v>
      </c>
      <c r="C50" s="70">
        <v>12014</v>
      </c>
      <c r="D50" s="71" t="s">
        <v>162</v>
      </c>
      <c r="E50" s="70" t="s">
        <v>163</v>
      </c>
      <c r="F50" s="70" t="s">
        <v>137</v>
      </c>
      <c r="G50" s="70" t="s">
        <v>55</v>
      </c>
      <c r="H50" s="70">
        <v>1</v>
      </c>
      <c r="I50" s="70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0">
        <v>48</v>
      </c>
      <c r="C51" s="70">
        <v>12015</v>
      </c>
      <c r="D51" s="71" t="s">
        <v>164</v>
      </c>
      <c r="E51" s="70" t="s">
        <v>165</v>
      </c>
      <c r="F51" s="70" t="s">
        <v>137</v>
      </c>
      <c r="G51" s="70" t="s">
        <v>55</v>
      </c>
      <c r="H51" s="70">
        <v>1</v>
      </c>
      <c r="I51" s="70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0">
        <v>49</v>
      </c>
      <c r="C52" s="70">
        <v>12016</v>
      </c>
      <c r="D52" s="71" t="s">
        <v>166</v>
      </c>
      <c r="E52" s="70" t="s">
        <v>167</v>
      </c>
      <c r="F52" s="70" t="s">
        <v>137</v>
      </c>
      <c r="G52" s="70" t="s">
        <v>55</v>
      </c>
      <c r="H52" s="70">
        <v>1</v>
      </c>
      <c r="I52" s="70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0">
        <v>50</v>
      </c>
      <c r="C53" s="70">
        <v>12017</v>
      </c>
      <c r="D53" s="71" t="s">
        <v>168</v>
      </c>
      <c r="E53" s="70" t="s">
        <v>169</v>
      </c>
      <c r="F53" s="70" t="s">
        <v>137</v>
      </c>
      <c r="G53" s="70" t="s">
        <v>55</v>
      </c>
      <c r="H53" s="70">
        <v>1</v>
      </c>
      <c r="I53" s="70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0">
        <v>51</v>
      </c>
      <c r="C54" s="70">
        <v>12018</v>
      </c>
      <c r="D54" s="71" t="s">
        <v>170</v>
      </c>
      <c r="E54" s="70" t="s">
        <v>171</v>
      </c>
      <c r="F54" s="70" t="s">
        <v>137</v>
      </c>
      <c r="G54" s="70" t="s">
        <v>55</v>
      </c>
      <c r="H54" s="70">
        <v>1</v>
      </c>
      <c r="I54" s="70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0">
        <v>52</v>
      </c>
      <c r="C55" s="70">
        <v>12019</v>
      </c>
      <c r="D55" s="71" t="s">
        <v>172</v>
      </c>
      <c r="E55" s="70" t="s">
        <v>173</v>
      </c>
      <c r="F55" s="70" t="s">
        <v>137</v>
      </c>
      <c r="G55" s="70" t="s">
        <v>55</v>
      </c>
      <c r="H55" s="70">
        <v>1</v>
      </c>
      <c r="I55" s="70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0">
        <v>53</v>
      </c>
      <c r="C56" s="70">
        <v>12020</v>
      </c>
      <c r="D56" s="71" t="s">
        <v>174</v>
      </c>
      <c r="E56" s="70" t="s">
        <v>175</v>
      </c>
      <c r="F56" s="70" t="s">
        <v>137</v>
      </c>
      <c r="G56" s="70" t="s">
        <v>55</v>
      </c>
      <c r="H56" s="70">
        <v>1</v>
      </c>
      <c r="I56" s="70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0">
        <v>54</v>
      </c>
      <c r="C57" s="70">
        <v>12021</v>
      </c>
      <c r="D57" s="71" t="s">
        <v>176</v>
      </c>
      <c r="E57" s="70" t="s">
        <v>177</v>
      </c>
      <c r="F57" s="70" t="s">
        <v>137</v>
      </c>
      <c r="G57" s="70" t="s">
        <v>55</v>
      </c>
      <c r="H57" s="70">
        <v>1</v>
      </c>
      <c r="I57" s="70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0">
        <v>55</v>
      </c>
      <c r="C58" s="70">
        <v>12022</v>
      </c>
      <c r="D58" s="71" t="s">
        <v>178</v>
      </c>
      <c r="E58" s="70" t="s">
        <v>179</v>
      </c>
      <c r="F58" s="70" t="s">
        <v>137</v>
      </c>
      <c r="G58" s="70" t="s">
        <v>55</v>
      </c>
      <c r="H58" s="70">
        <v>1</v>
      </c>
      <c r="I58" s="70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0">
        <v>56</v>
      </c>
      <c r="C59" s="70">
        <v>12023</v>
      </c>
      <c r="D59" s="71" t="s">
        <v>180</v>
      </c>
      <c r="E59" s="70" t="s">
        <v>181</v>
      </c>
      <c r="F59" s="70" t="s">
        <v>137</v>
      </c>
      <c r="G59" s="70" t="s">
        <v>55</v>
      </c>
      <c r="H59" s="70">
        <v>1</v>
      </c>
      <c r="I59" s="70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0">
        <v>57</v>
      </c>
      <c r="C60" s="70">
        <v>12024</v>
      </c>
      <c r="D60" s="71" t="s">
        <v>182</v>
      </c>
      <c r="E60" s="70" t="s">
        <v>183</v>
      </c>
      <c r="F60" s="70" t="s">
        <v>137</v>
      </c>
      <c r="G60" s="70" t="s">
        <v>55</v>
      </c>
      <c r="H60" s="70">
        <v>1</v>
      </c>
      <c r="I60" s="70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0">
        <v>58</v>
      </c>
      <c r="C61" s="70">
        <v>12025</v>
      </c>
      <c r="D61" s="71" t="s">
        <v>184</v>
      </c>
      <c r="E61" s="70" t="s">
        <v>185</v>
      </c>
      <c r="F61" s="70" t="s">
        <v>137</v>
      </c>
      <c r="G61" s="70" t="s">
        <v>55</v>
      </c>
      <c r="H61" s="70">
        <v>1</v>
      </c>
      <c r="I61" s="70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0">
        <v>59</v>
      </c>
      <c r="C62" s="70">
        <v>12026</v>
      </c>
      <c r="D62" s="71" t="s">
        <v>186</v>
      </c>
      <c r="E62" s="70" t="s">
        <v>187</v>
      </c>
      <c r="F62" s="70" t="s">
        <v>137</v>
      </c>
      <c r="G62" s="70" t="s">
        <v>55</v>
      </c>
      <c r="H62" s="70">
        <v>1</v>
      </c>
      <c r="I62" s="70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0">
        <v>60</v>
      </c>
      <c r="C63" s="70">
        <v>12027</v>
      </c>
      <c r="D63" s="71" t="s">
        <v>188</v>
      </c>
      <c r="E63" s="70" t="s">
        <v>189</v>
      </c>
      <c r="F63" s="70" t="s">
        <v>137</v>
      </c>
      <c r="G63" s="70" t="s">
        <v>55</v>
      </c>
      <c r="H63" s="70">
        <v>1</v>
      </c>
      <c r="I63" s="70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0">
        <v>61</v>
      </c>
      <c r="C64" s="70">
        <v>12028</v>
      </c>
      <c r="D64" s="71" t="s">
        <v>190</v>
      </c>
      <c r="E64" s="70" t="s">
        <v>191</v>
      </c>
      <c r="F64" s="70" t="s">
        <v>137</v>
      </c>
      <c r="G64" s="70" t="s">
        <v>55</v>
      </c>
      <c r="H64" s="70">
        <v>1</v>
      </c>
      <c r="I64" s="70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0">
        <v>62</v>
      </c>
      <c r="C65" s="70">
        <v>12029</v>
      </c>
      <c r="D65" s="71" t="s">
        <v>192</v>
      </c>
      <c r="E65" s="70" t="s">
        <v>193</v>
      </c>
      <c r="F65" s="70" t="s">
        <v>137</v>
      </c>
      <c r="G65" s="70" t="s">
        <v>55</v>
      </c>
      <c r="H65" s="70">
        <v>1</v>
      </c>
      <c r="I65" s="70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0">
        <v>63</v>
      </c>
      <c r="C66" s="70">
        <v>12030</v>
      </c>
      <c r="D66" s="71" t="s">
        <v>194</v>
      </c>
      <c r="E66" s="70" t="s">
        <v>195</v>
      </c>
      <c r="F66" s="70" t="s">
        <v>137</v>
      </c>
      <c r="G66" s="70" t="s">
        <v>55</v>
      </c>
      <c r="H66" s="70">
        <v>1</v>
      </c>
      <c r="I66" s="70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0">
        <v>64</v>
      </c>
      <c r="C67" s="70">
        <v>12031</v>
      </c>
      <c r="D67" s="71" t="s">
        <v>196</v>
      </c>
      <c r="E67" s="70" t="s">
        <v>197</v>
      </c>
      <c r="F67" s="70" t="s">
        <v>137</v>
      </c>
      <c r="G67" s="70" t="s">
        <v>55</v>
      </c>
      <c r="H67" s="70">
        <v>1</v>
      </c>
      <c r="I67" s="70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0">
        <v>65</v>
      </c>
      <c r="C68" s="70">
        <v>12032</v>
      </c>
      <c r="D68" s="71" t="s">
        <v>198</v>
      </c>
      <c r="E68" s="70" t="s">
        <v>199</v>
      </c>
      <c r="F68" s="70" t="s">
        <v>137</v>
      </c>
      <c r="G68" s="70" t="s">
        <v>55</v>
      </c>
      <c r="H68" s="70">
        <v>1</v>
      </c>
      <c r="I68" s="70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0">
        <v>66</v>
      </c>
      <c r="C69" s="70">
        <v>13001</v>
      </c>
      <c r="D69" s="71" t="s">
        <v>200</v>
      </c>
      <c r="E69" s="70" t="s">
        <v>201</v>
      </c>
      <c r="F69" s="70" t="s">
        <v>202</v>
      </c>
      <c r="G69" s="70" t="s">
        <v>55</v>
      </c>
      <c r="H69" s="70">
        <v>1</v>
      </c>
      <c r="I69" s="70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0">
        <v>67</v>
      </c>
      <c r="C70" s="70">
        <v>13002</v>
      </c>
      <c r="D70" s="71" t="s">
        <v>203</v>
      </c>
      <c r="E70" s="70" t="s">
        <v>204</v>
      </c>
      <c r="F70" s="70" t="s">
        <v>202</v>
      </c>
      <c r="G70" s="70" t="s">
        <v>55</v>
      </c>
      <c r="H70" s="70">
        <v>1</v>
      </c>
      <c r="I70" s="70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0">
        <v>68</v>
      </c>
      <c r="C71" s="70">
        <v>13003</v>
      </c>
      <c r="D71" s="71" t="s">
        <v>205</v>
      </c>
      <c r="E71" s="70" t="s">
        <v>206</v>
      </c>
      <c r="F71" s="70" t="s">
        <v>202</v>
      </c>
      <c r="G71" s="70" t="s">
        <v>55</v>
      </c>
      <c r="H71" s="70">
        <v>1</v>
      </c>
      <c r="I71" s="70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0">
        <v>69</v>
      </c>
      <c r="C72" s="70">
        <v>13004</v>
      </c>
      <c r="D72" s="71" t="s">
        <v>207</v>
      </c>
      <c r="E72" s="70" t="s">
        <v>208</v>
      </c>
      <c r="F72" s="70" t="s">
        <v>202</v>
      </c>
      <c r="G72" s="70" t="s">
        <v>55</v>
      </c>
      <c r="H72" s="70">
        <v>1</v>
      </c>
      <c r="I72" s="70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0">
        <v>70</v>
      </c>
      <c r="C73" s="70">
        <v>13005</v>
      </c>
      <c r="D73" s="71" t="s">
        <v>209</v>
      </c>
      <c r="E73" s="70" t="s">
        <v>210</v>
      </c>
      <c r="F73" s="70" t="s">
        <v>202</v>
      </c>
      <c r="G73" s="70" t="s">
        <v>55</v>
      </c>
      <c r="H73" s="70">
        <v>1</v>
      </c>
      <c r="I73" s="70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0">
        <v>71</v>
      </c>
      <c r="C74" s="70">
        <v>13006</v>
      </c>
      <c r="D74" s="71" t="s">
        <v>211</v>
      </c>
      <c r="E74" s="70" t="s">
        <v>212</v>
      </c>
      <c r="F74" s="70" t="s">
        <v>202</v>
      </c>
      <c r="G74" s="70" t="s">
        <v>55</v>
      </c>
      <c r="H74" s="70">
        <v>1</v>
      </c>
      <c r="I74" s="70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0">
        <v>72</v>
      </c>
      <c r="C75" s="70">
        <v>13007</v>
      </c>
      <c r="D75" s="71" t="s">
        <v>213</v>
      </c>
      <c r="E75" s="70" t="s">
        <v>214</v>
      </c>
      <c r="F75" s="70" t="s">
        <v>202</v>
      </c>
      <c r="G75" s="70" t="s">
        <v>55</v>
      </c>
      <c r="H75" s="70">
        <v>1</v>
      </c>
      <c r="I75" s="70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0">
        <v>73</v>
      </c>
      <c r="C76" s="70">
        <v>13008</v>
      </c>
      <c r="D76" s="71" t="s">
        <v>215</v>
      </c>
      <c r="E76" s="70" t="s">
        <v>216</v>
      </c>
      <c r="F76" s="70" t="s">
        <v>202</v>
      </c>
      <c r="G76" s="70" t="s">
        <v>55</v>
      </c>
      <c r="H76" s="70">
        <v>1</v>
      </c>
      <c r="I76" s="70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0">
        <v>74</v>
      </c>
      <c r="C77" s="70">
        <v>13009</v>
      </c>
      <c r="D77" s="71" t="s">
        <v>217</v>
      </c>
      <c r="E77" s="70" t="s">
        <v>218</v>
      </c>
      <c r="F77" s="70" t="s">
        <v>202</v>
      </c>
      <c r="G77" s="70" t="s">
        <v>55</v>
      </c>
      <c r="H77" s="70">
        <v>1</v>
      </c>
      <c r="I77" s="70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0">
        <v>75</v>
      </c>
      <c r="C78" s="70">
        <v>13010</v>
      </c>
      <c r="D78" s="71" t="s">
        <v>219</v>
      </c>
      <c r="E78" s="70" t="s">
        <v>220</v>
      </c>
      <c r="F78" s="70" t="s">
        <v>202</v>
      </c>
      <c r="G78" s="70" t="s">
        <v>55</v>
      </c>
      <c r="H78" s="70">
        <v>1</v>
      </c>
      <c r="I78" s="70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0">
        <v>76</v>
      </c>
      <c r="C79" s="70">
        <v>13011</v>
      </c>
      <c r="D79" s="71" t="s">
        <v>221</v>
      </c>
      <c r="E79" s="70" t="s">
        <v>222</v>
      </c>
      <c r="F79" s="70" t="s">
        <v>202</v>
      </c>
      <c r="G79" s="70" t="s">
        <v>55</v>
      </c>
      <c r="H79" s="70">
        <v>1</v>
      </c>
      <c r="I79" s="70">
        <v>1</v>
      </c>
    </row>
    <row r="80" spans="2:12" ht="18.75" x14ac:dyDescent="0.3">
      <c r="B80" s="70">
        <v>77</v>
      </c>
      <c r="C80" s="70">
        <v>13012</v>
      </c>
      <c r="D80" s="71" t="s">
        <v>223</v>
      </c>
      <c r="E80" s="70" t="s">
        <v>224</v>
      </c>
      <c r="F80" s="70" t="s">
        <v>202</v>
      </c>
      <c r="G80" s="70" t="s">
        <v>55</v>
      </c>
      <c r="H80" s="70">
        <v>1</v>
      </c>
      <c r="I80" s="70">
        <v>1</v>
      </c>
    </row>
    <row r="81" spans="2:9" ht="18.75" x14ac:dyDescent="0.3">
      <c r="B81" s="70">
        <v>78</v>
      </c>
      <c r="C81" s="70">
        <v>13013</v>
      </c>
      <c r="D81" s="71" t="s">
        <v>225</v>
      </c>
      <c r="E81" s="70" t="s">
        <v>226</v>
      </c>
      <c r="F81" s="70" t="s">
        <v>202</v>
      </c>
      <c r="G81" s="70" t="s">
        <v>55</v>
      </c>
      <c r="H81" s="70">
        <v>1</v>
      </c>
      <c r="I81" s="70">
        <v>1</v>
      </c>
    </row>
    <row r="82" spans="2:9" ht="18.75" x14ac:dyDescent="0.3">
      <c r="B82" s="70">
        <v>79</v>
      </c>
      <c r="C82" s="70">
        <v>13014</v>
      </c>
      <c r="D82" s="71" t="s">
        <v>227</v>
      </c>
      <c r="E82" s="70" t="s">
        <v>228</v>
      </c>
      <c r="F82" s="70" t="s">
        <v>202</v>
      </c>
      <c r="G82" s="70" t="s">
        <v>55</v>
      </c>
      <c r="H82" s="70">
        <v>1</v>
      </c>
      <c r="I82" s="70">
        <v>1</v>
      </c>
    </row>
    <row r="83" spans="2:9" ht="18.75" x14ac:dyDescent="0.3">
      <c r="B83" s="70">
        <v>80</v>
      </c>
      <c r="C83" s="70">
        <v>13015</v>
      </c>
      <c r="D83" s="71" t="s">
        <v>229</v>
      </c>
      <c r="E83" s="70" t="s">
        <v>230</v>
      </c>
      <c r="F83" s="70" t="s">
        <v>202</v>
      </c>
      <c r="G83" s="70" t="s">
        <v>55</v>
      </c>
      <c r="H83" s="70">
        <v>1</v>
      </c>
      <c r="I83" s="70">
        <v>1</v>
      </c>
    </row>
    <row r="84" spans="2:9" ht="18.75" x14ac:dyDescent="0.3">
      <c r="B84" s="70">
        <v>81</v>
      </c>
      <c r="C84" s="70">
        <v>13016</v>
      </c>
      <c r="D84" s="71" t="s">
        <v>231</v>
      </c>
      <c r="E84" s="70" t="s">
        <v>232</v>
      </c>
      <c r="F84" s="70" t="s">
        <v>202</v>
      </c>
      <c r="G84" s="70" t="s">
        <v>55</v>
      </c>
      <c r="H84" s="70">
        <v>1</v>
      </c>
      <c r="I84" s="70">
        <v>1</v>
      </c>
    </row>
    <row r="85" spans="2:9" ht="18.75" x14ac:dyDescent="0.3">
      <c r="B85" s="70">
        <v>82</v>
      </c>
      <c r="C85" s="70">
        <v>13017</v>
      </c>
      <c r="D85" s="71" t="s">
        <v>233</v>
      </c>
      <c r="E85" s="70" t="s">
        <v>234</v>
      </c>
      <c r="F85" s="70" t="s">
        <v>202</v>
      </c>
      <c r="G85" s="70" t="s">
        <v>55</v>
      </c>
      <c r="H85" s="70">
        <v>1</v>
      </c>
      <c r="I85" s="70">
        <v>1</v>
      </c>
    </row>
    <row r="86" spans="2:9" ht="18.75" x14ac:dyDescent="0.3">
      <c r="B86" s="70">
        <v>83</v>
      </c>
      <c r="C86" s="70">
        <v>13018</v>
      </c>
      <c r="D86" s="71" t="s">
        <v>235</v>
      </c>
      <c r="E86" s="70" t="s">
        <v>236</v>
      </c>
      <c r="F86" s="70" t="s">
        <v>202</v>
      </c>
      <c r="G86" s="70" t="s">
        <v>55</v>
      </c>
      <c r="H86" s="70">
        <v>1</v>
      </c>
      <c r="I86" s="70">
        <v>1</v>
      </c>
    </row>
    <row r="87" spans="2:9" ht="18.75" x14ac:dyDescent="0.3">
      <c r="B87" s="70">
        <v>84</v>
      </c>
      <c r="C87" s="70">
        <v>13019</v>
      </c>
      <c r="D87" s="71" t="s">
        <v>237</v>
      </c>
      <c r="E87" s="70" t="s">
        <v>238</v>
      </c>
      <c r="F87" s="70" t="s">
        <v>202</v>
      </c>
      <c r="G87" s="70" t="s">
        <v>55</v>
      </c>
      <c r="H87" s="70">
        <v>1</v>
      </c>
      <c r="I87" s="70">
        <v>1</v>
      </c>
    </row>
    <row r="88" spans="2:9" ht="18.75" x14ac:dyDescent="0.3">
      <c r="B88" s="70">
        <v>85</v>
      </c>
      <c r="C88" s="70">
        <v>13020</v>
      </c>
      <c r="D88" s="71" t="s">
        <v>239</v>
      </c>
      <c r="E88" s="70" t="s">
        <v>240</v>
      </c>
      <c r="F88" s="70" t="s">
        <v>202</v>
      </c>
      <c r="G88" s="70" t="s">
        <v>55</v>
      </c>
      <c r="H88" s="70">
        <v>1</v>
      </c>
      <c r="I88" s="70">
        <v>1</v>
      </c>
    </row>
    <row r="89" spans="2:9" ht="18.75" x14ac:dyDescent="0.3">
      <c r="B89" s="70">
        <v>86</v>
      </c>
      <c r="C89" s="70">
        <v>13021</v>
      </c>
      <c r="D89" s="71" t="s">
        <v>241</v>
      </c>
      <c r="E89" s="70" t="s">
        <v>242</v>
      </c>
      <c r="F89" s="70" t="s">
        <v>202</v>
      </c>
      <c r="G89" s="70" t="s">
        <v>55</v>
      </c>
      <c r="H89" s="70">
        <v>1</v>
      </c>
      <c r="I89" s="70">
        <v>1</v>
      </c>
    </row>
    <row r="90" spans="2:9" ht="18.75" x14ac:dyDescent="0.3">
      <c r="B90" s="70">
        <v>87</v>
      </c>
      <c r="C90" s="70">
        <v>13022</v>
      </c>
      <c r="D90" s="71" t="s">
        <v>243</v>
      </c>
      <c r="E90" s="70" t="s">
        <v>244</v>
      </c>
      <c r="F90" s="70" t="s">
        <v>202</v>
      </c>
      <c r="G90" s="70" t="s">
        <v>55</v>
      </c>
      <c r="H90" s="70">
        <v>1</v>
      </c>
      <c r="I90" s="70">
        <v>1</v>
      </c>
    </row>
    <row r="91" spans="2:9" ht="18.75" x14ac:dyDescent="0.3">
      <c r="B91" s="70">
        <v>88</v>
      </c>
      <c r="C91" s="70">
        <v>13023</v>
      </c>
      <c r="D91" s="71" t="s">
        <v>245</v>
      </c>
      <c r="E91" s="70" t="s">
        <v>246</v>
      </c>
      <c r="F91" s="70" t="s">
        <v>202</v>
      </c>
      <c r="G91" s="70" t="s">
        <v>55</v>
      </c>
      <c r="H91" s="70">
        <v>1</v>
      </c>
      <c r="I91" s="70">
        <v>1</v>
      </c>
    </row>
    <row r="92" spans="2:9" ht="18.75" x14ac:dyDescent="0.3">
      <c r="B92" s="70">
        <v>89</v>
      </c>
      <c r="C92" s="70">
        <v>13024</v>
      </c>
      <c r="D92" s="71" t="s">
        <v>247</v>
      </c>
      <c r="E92" s="70" t="s">
        <v>248</v>
      </c>
      <c r="F92" s="70" t="s">
        <v>202</v>
      </c>
      <c r="G92" s="70" t="s">
        <v>55</v>
      </c>
      <c r="H92" s="70">
        <v>1</v>
      </c>
      <c r="I92" s="70">
        <v>1</v>
      </c>
    </row>
    <row r="93" spans="2:9" ht="18.75" x14ac:dyDescent="0.3">
      <c r="B93" s="70">
        <v>90</v>
      </c>
      <c r="C93" s="70">
        <v>13025</v>
      </c>
      <c r="D93" s="71" t="s">
        <v>249</v>
      </c>
      <c r="E93" s="70" t="s">
        <v>250</v>
      </c>
      <c r="F93" s="70" t="s">
        <v>202</v>
      </c>
      <c r="G93" s="70" t="s">
        <v>55</v>
      </c>
      <c r="H93" s="70">
        <v>1</v>
      </c>
      <c r="I93" s="70">
        <v>1</v>
      </c>
    </row>
    <row r="94" spans="2:9" ht="18.75" x14ac:dyDescent="0.3">
      <c r="B94" s="70">
        <v>91</v>
      </c>
      <c r="C94" s="70">
        <v>13026</v>
      </c>
      <c r="D94" s="71" t="s">
        <v>251</v>
      </c>
      <c r="E94" s="70" t="s">
        <v>252</v>
      </c>
      <c r="F94" s="70" t="s">
        <v>202</v>
      </c>
      <c r="G94" s="70" t="s">
        <v>55</v>
      </c>
      <c r="H94" s="70">
        <v>1</v>
      </c>
      <c r="I94" s="70">
        <v>1</v>
      </c>
    </row>
    <row r="95" spans="2:9" ht="18.75" x14ac:dyDescent="0.3">
      <c r="B95" s="70">
        <v>92</v>
      </c>
      <c r="C95" s="70">
        <v>13027</v>
      </c>
      <c r="D95" s="71" t="s">
        <v>253</v>
      </c>
      <c r="E95" s="70" t="s">
        <v>254</v>
      </c>
      <c r="F95" s="70" t="s">
        <v>202</v>
      </c>
      <c r="G95" s="70" t="s">
        <v>55</v>
      </c>
      <c r="H95" s="70">
        <v>1</v>
      </c>
      <c r="I95" s="70">
        <v>1</v>
      </c>
    </row>
    <row r="96" spans="2:9" ht="18.75" x14ac:dyDescent="0.3">
      <c r="B96" s="70">
        <v>93</v>
      </c>
      <c r="C96" s="70">
        <v>13028</v>
      </c>
      <c r="D96" s="71" t="s">
        <v>255</v>
      </c>
      <c r="E96" s="70" t="s">
        <v>256</v>
      </c>
      <c r="F96" s="70" t="s">
        <v>202</v>
      </c>
      <c r="G96" s="70" t="s">
        <v>55</v>
      </c>
      <c r="H96" s="70">
        <v>1</v>
      </c>
      <c r="I96" s="70">
        <v>1</v>
      </c>
    </row>
    <row r="97" spans="2:9" ht="18.75" x14ac:dyDescent="0.3">
      <c r="B97" s="70">
        <v>94</v>
      </c>
      <c r="C97" s="70">
        <v>13029</v>
      </c>
      <c r="D97" s="71" t="s">
        <v>257</v>
      </c>
      <c r="E97" s="70" t="s">
        <v>258</v>
      </c>
      <c r="F97" s="70" t="s">
        <v>202</v>
      </c>
      <c r="G97" s="70" t="s">
        <v>55</v>
      </c>
      <c r="H97" s="70">
        <v>1</v>
      </c>
      <c r="I97" s="70">
        <v>1</v>
      </c>
    </row>
    <row r="98" spans="2:9" ht="18.75" x14ac:dyDescent="0.3">
      <c r="B98" s="70">
        <v>95</v>
      </c>
      <c r="C98" s="70">
        <v>13030</v>
      </c>
      <c r="D98" s="71" t="s">
        <v>259</v>
      </c>
      <c r="E98" s="70" t="s">
        <v>260</v>
      </c>
      <c r="F98" s="70" t="s">
        <v>202</v>
      </c>
      <c r="G98" s="70" t="s">
        <v>55</v>
      </c>
      <c r="H98" s="70">
        <v>1</v>
      </c>
      <c r="I98" s="70">
        <v>1</v>
      </c>
    </row>
    <row r="99" spans="2:9" ht="18.75" x14ac:dyDescent="0.3">
      <c r="B99" s="70">
        <v>96</v>
      </c>
      <c r="C99" s="70">
        <v>13031</v>
      </c>
      <c r="D99" s="71" t="s">
        <v>261</v>
      </c>
      <c r="E99" s="70" t="s">
        <v>262</v>
      </c>
      <c r="F99" s="70" t="s">
        <v>202</v>
      </c>
      <c r="G99" s="70" t="s">
        <v>55</v>
      </c>
      <c r="H99" s="70">
        <v>1</v>
      </c>
      <c r="I99" s="70">
        <v>1</v>
      </c>
    </row>
    <row r="100" spans="2:9" ht="18.75" x14ac:dyDescent="0.3">
      <c r="B100" s="70">
        <v>97</v>
      </c>
      <c r="C100" s="70">
        <v>13032</v>
      </c>
      <c r="D100" s="71" t="s">
        <v>263</v>
      </c>
      <c r="E100" s="70" t="s">
        <v>264</v>
      </c>
      <c r="F100" s="70" t="s">
        <v>202</v>
      </c>
      <c r="G100" s="70" t="s">
        <v>55</v>
      </c>
      <c r="H100" s="70">
        <v>1</v>
      </c>
      <c r="I100" s="70">
        <v>1</v>
      </c>
    </row>
    <row r="101" spans="2:9" ht="18.75" x14ac:dyDescent="0.3">
      <c r="B101" s="70">
        <v>98</v>
      </c>
      <c r="C101" s="70">
        <v>14001</v>
      </c>
      <c r="D101" s="71" t="s">
        <v>265</v>
      </c>
      <c r="E101" s="70" t="s">
        <v>266</v>
      </c>
      <c r="F101" s="70" t="s">
        <v>267</v>
      </c>
      <c r="G101" s="70" t="s">
        <v>55</v>
      </c>
      <c r="H101" s="70">
        <v>1</v>
      </c>
      <c r="I101" s="70">
        <v>1</v>
      </c>
    </row>
    <row r="102" spans="2:9" ht="18.75" x14ac:dyDescent="0.3">
      <c r="B102" s="70">
        <v>99</v>
      </c>
      <c r="C102" s="70">
        <v>14002</v>
      </c>
      <c r="D102" s="71" t="s">
        <v>268</v>
      </c>
      <c r="E102" s="70" t="s">
        <v>269</v>
      </c>
      <c r="F102" s="70" t="s">
        <v>267</v>
      </c>
      <c r="G102" s="70" t="s">
        <v>55</v>
      </c>
      <c r="H102" s="70">
        <v>1</v>
      </c>
      <c r="I102" s="70">
        <v>1</v>
      </c>
    </row>
    <row r="103" spans="2:9" ht="18.75" x14ac:dyDescent="0.3">
      <c r="B103" s="70">
        <v>100</v>
      </c>
      <c r="C103" s="70">
        <v>14003</v>
      </c>
      <c r="D103" s="71" t="s">
        <v>270</v>
      </c>
      <c r="E103" s="70" t="s">
        <v>271</v>
      </c>
      <c r="F103" s="70" t="s">
        <v>267</v>
      </c>
      <c r="G103" s="70" t="s">
        <v>55</v>
      </c>
      <c r="H103" s="70">
        <v>1</v>
      </c>
      <c r="I103" s="70">
        <v>1</v>
      </c>
    </row>
    <row r="104" spans="2:9" ht="18.75" x14ac:dyDescent="0.3">
      <c r="B104" s="70">
        <v>101</v>
      </c>
      <c r="C104" s="70">
        <v>14004</v>
      </c>
      <c r="D104" s="71" t="s">
        <v>272</v>
      </c>
      <c r="E104" s="70" t="s">
        <v>273</v>
      </c>
      <c r="F104" s="70" t="s">
        <v>267</v>
      </c>
      <c r="G104" s="70" t="s">
        <v>55</v>
      </c>
      <c r="H104" s="70">
        <v>1</v>
      </c>
      <c r="I104" s="70">
        <v>1</v>
      </c>
    </row>
    <row r="105" spans="2:9" ht="18.75" x14ac:dyDescent="0.3">
      <c r="B105" s="70">
        <v>102</v>
      </c>
      <c r="C105" s="70">
        <v>14005</v>
      </c>
      <c r="D105" s="71" t="s">
        <v>274</v>
      </c>
      <c r="E105" s="70" t="s">
        <v>275</v>
      </c>
      <c r="F105" s="70" t="s">
        <v>267</v>
      </c>
      <c r="G105" s="70" t="s">
        <v>55</v>
      </c>
      <c r="H105" s="70">
        <v>1</v>
      </c>
      <c r="I105" s="70">
        <v>1</v>
      </c>
    </row>
    <row r="106" spans="2:9" ht="18.75" x14ac:dyDescent="0.3">
      <c r="B106" s="70">
        <v>103</v>
      </c>
      <c r="C106" s="70">
        <v>14006</v>
      </c>
      <c r="D106" s="71" t="s">
        <v>276</v>
      </c>
      <c r="E106" s="70" t="s">
        <v>277</v>
      </c>
      <c r="F106" s="70" t="s">
        <v>267</v>
      </c>
      <c r="G106" s="70" t="s">
        <v>55</v>
      </c>
      <c r="H106" s="70">
        <v>1</v>
      </c>
      <c r="I106" s="70">
        <v>1</v>
      </c>
    </row>
    <row r="107" spans="2:9" ht="18.75" x14ac:dyDescent="0.3">
      <c r="B107" s="70">
        <v>104</v>
      </c>
      <c r="C107" s="70">
        <v>14007</v>
      </c>
      <c r="D107" s="71" t="s">
        <v>278</v>
      </c>
      <c r="E107" s="70" t="s">
        <v>279</v>
      </c>
      <c r="F107" s="70" t="s">
        <v>267</v>
      </c>
      <c r="G107" s="70" t="s">
        <v>55</v>
      </c>
      <c r="H107" s="70">
        <v>1</v>
      </c>
      <c r="I107" s="70">
        <v>1</v>
      </c>
    </row>
    <row r="108" spans="2:9" ht="18.75" x14ac:dyDescent="0.3">
      <c r="B108" s="70">
        <v>105</v>
      </c>
      <c r="C108" s="70">
        <v>14008</v>
      </c>
      <c r="D108" s="71" t="s">
        <v>280</v>
      </c>
      <c r="E108" s="70" t="s">
        <v>281</v>
      </c>
      <c r="F108" s="70" t="s">
        <v>267</v>
      </c>
      <c r="G108" s="70" t="s">
        <v>55</v>
      </c>
      <c r="H108" s="70">
        <v>1</v>
      </c>
      <c r="I108" s="70">
        <v>1</v>
      </c>
    </row>
    <row r="109" spans="2:9" ht="18.75" x14ac:dyDescent="0.3">
      <c r="B109" s="70">
        <v>106</v>
      </c>
      <c r="C109" s="70">
        <v>14009</v>
      </c>
      <c r="D109" s="71" t="s">
        <v>282</v>
      </c>
      <c r="E109" s="70" t="s">
        <v>283</v>
      </c>
      <c r="F109" s="70" t="s">
        <v>267</v>
      </c>
      <c r="G109" s="70" t="s">
        <v>55</v>
      </c>
      <c r="H109" s="70">
        <v>1</v>
      </c>
      <c r="I109" s="70">
        <v>1</v>
      </c>
    </row>
    <row r="110" spans="2:9" ht="18.75" x14ac:dyDescent="0.3">
      <c r="B110" s="70">
        <v>107</v>
      </c>
      <c r="C110" s="70">
        <v>14010</v>
      </c>
      <c r="D110" s="71" t="s">
        <v>284</v>
      </c>
      <c r="E110" s="70" t="s">
        <v>285</v>
      </c>
      <c r="F110" s="70" t="s">
        <v>267</v>
      </c>
      <c r="G110" s="70" t="s">
        <v>55</v>
      </c>
      <c r="H110" s="70">
        <v>1</v>
      </c>
      <c r="I110" s="70">
        <v>1</v>
      </c>
    </row>
    <row r="111" spans="2:9" ht="18.75" x14ac:dyDescent="0.3">
      <c r="B111" s="70">
        <v>108</v>
      </c>
      <c r="C111" s="70">
        <v>14011</v>
      </c>
      <c r="D111" s="71" t="s">
        <v>286</v>
      </c>
      <c r="E111" s="70" t="s">
        <v>287</v>
      </c>
      <c r="F111" s="70" t="s">
        <v>267</v>
      </c>
      <c r="G111" s="70" t="s">
        <v>55</v>
      </c>
      <c r="H111" s="70">
        <v>1</v>
      </c>
      <c r="I111" s="70">
        <v>1</v>
      </c>
    </row>
    <row r="112" spans="2:9" ht="18.75" x14ac:dyDescent="0.3">
      <c r="B112" s="70">
        <v>109</v>
      </c>
      <c r="C112" s="70">
        <v>14012</v>
      </c>
      <c r="D112" s="71" t="s">
        <v>288</v>
      </c>
      <c r="E112" s="70" t="s">
        <v>289</v>
      </c>
      <c r="F112" s="70" t="s">
        <v>267</v>
      </c>
      <c r="G112" s="70" t="s">
        <v>55</v>
      </c>
      <c r="H112" s="70">
        <v>1</v>
      </c>
      <c r="I112" s="70">
        <v>1</v>
      </c>
    </row>
    <row r="113" spans="2:9" ht="18.75" x14ac:dyDescent="0.3">
      <c r="B113" s="70">
        <v>110</v>
      </c>
      <c r="C113" s="70">
        <v>14013</v>
      </c>
      <c r="D113" s="71" t="s">
        <v>290</v>
      </c>
      <c r="E113" s="70" t="s">
        <v>291</v>
      </c>
      <c r="F113" s="70" t="s">
        <v>267</v>
      </c>
      <c r="G113" s="70" t="s">
        <v>55</v>
      </c>
      <c r="H113" s="70">
        <v>1</v>
      </c>
      <c r="I113" s="70">
        <v>1</v>
      </c>
    </row>
    <row r="114" spans="2:9" ht="18.75" x14ac:dyDescent="0.3">
      <c r="B114" s="70">
        <v>111</v>
      </c>
      <c r="C114" s="70">
        <v>14014</v>
      </c>
      <c r="D114" s="71" t="s">
        <v>292</v>
      </c>
      <c r="E114" s="70" t="s">
        <v>293</v>
      </c>
      <c r="F114" s="70" t="s">
        <v>267</v>
      </c>
      <c r="G114" s="70" t="s">
        <v>55</v>
      </c>
      <c r="H114" s="70">
        <v>1</v>
      </c>
      <c r="I114" s="70">
        <v>1</v>
      </c>
    </row>
    <row r="115" spans="2:9" ht="18.75" x14ac:dyDescent="0.3">
      <c r="B115" s="70">
        <v>112</v>
      </c>
      <c r="C115" s="70">
        <v>14015</v>
      </c>
      <c r="D115" s="71" t="s">
        <v>294</v>
      </c>
      <c r="E115" s="70" t="s">
        <v>295</v>
      </c>
      <c r="F115" s="70" t="s">
        <v>267</v>
      </c>
      <c r="G115" s="70" t="s">
        <v>55</v>
      </c>
      <c r="H115" s="70">
        <v>1</v>
      </c>
      <c r="I115" s="70">
        <v>1</v>
      </c>
    </row>
    <row r="116" spans="2:9" ht="18.75" x14ac:dyDescent="0.3">
      <c r="B116" s="70">
        <v>113</v>
      </c>
      <c r="C116" s="70">
        <v>14016</v>
      </c>
      <c r="D116" s="71" t="s">
        <v>296</v>
      </c>
      <c r="E116" s="70" t="s">
        <v>297</v>
      </c>
      <c r="F116" s="70" t="s">
        <v>267</v>
      </c>
      <c r="G116" s="70" t="s">
        <v>55</v>
      </c>
      <c r="H116" s="70">
        <v>1</v>
      </c>
      <c r="I116" s="70">
        <v>1</v>
      </c>
    </row>
    <row r="117" spans="2:9" ht="18.75" x14ac:dyDescent="0.3">
      <c r="B117" s="70">
        <v>114</v>
      </c>
      <c r="C117" s="70">
        <v>14017</v>
      </c>
      <c r="D117" s="71" t="s">
        <v>298</v>
      </c>
      <c r="E117" s="70" t="s">
        <v>299</v>
      </c>
      <c r="F117" s="70" t="s">
        <v>267</v>
      </c>
      <c r="G117" s="70" t="s">
        <v>55</v>
      </c>
      <c r="H117" s="70">
        <v>1</v>
      </c>
      <c r="I117" s="70">
        <v>1</v>
      </c>
    </row>
    <row r="118" spans="2:9" ht="18.75" x14ac:dyDescent="0.3">
      <c r="B118" s="70">
        <v>115</v>
      </c>
      <c r="C118" s="70">
        <v>14018</v>
      </c>
      <c r="D118" s="71" t="s">
        <v>300</v>
      </c>
      <c r="E118" s="70" t="s">
        <v>301</v>
      </c>
      <c r="F118" s="70" t="s">
        <v>267</v>
      </c>
      <c r="G118" s="70" t="s">
        <v>55</v>
      </c>
      <c r="H118" s="70">
        <v>1</v>
      </c>
      <c r="I118" s="70">
        <v>1</v>
      </c>
    </row>
    <row r="119" spans="2:9" ht="18.75" x14ac:dyDescent="0.3">
      <c r="B119" s="70">
        <v>116</v>
      </c>
      <c r="C119" s="70">
        <v>14019</v>
      </c>
      <c r="D119" s="71" t="s">
        <v>302</v>
      </c>
      <c r="E119" s="70" t="s">
        <v>303</v>
      </c>
      <c r="F119" s="70" t="s">
        <v>267</v>
      </c>
      <c r="G119" s="70" t="s">
        <v>55</v>
      </c>
      <c r="H119" s="70">
        <v>1</v>
      </c>
      <c r="I119" s="70">
        <v>1</v>
      </c>
    </row>
    <row r="120" spans="2:9" ht="18.75" x14ac:dyDescent="0.3">
      <c r="B120" s="70">
        <v>117</v>
      </c>
      <c r="C120" s="70">
        <v>14020</v>
      </c>
      <c r="D120" s="71" t="s">
        <v>304</v>
      </c>
      <c r="E120" s="70" t="s">
        <v>305</v>
      </c>
      <c r="F120" s="70" t="s">
        <v>267</v>
      </c>
      <c r="G120" s="70" t="s">
        <v>55</v>
      </c>
      <c r="H120" s="70">
        <v>1</v>
      </c>
      <c r="I120" s="70">
        <v>1</v>
      </c>
    </row>
    <row r="121" spans="2:9" ht="18.75" x14ac:dyDescent="0.3">
      <c r="B121" s="70">
        <v>118</v>
      </c>
      <c r="C121" s="70">
        <v>14021</v>
      </c>
      <c r="D121" s="71" t="s">
        <v>306</v>
      </c>
      <c r="E121" s="70" t="s">
        <v>307</v>
      </c>
      <c r="F121" s="70" t="s">
        <v>267</v>
      </c>
      <c r="G121" s="70" t="s">
        <v>55</v>
      </c>
      <c r="H121" s="70">
        <v>1</v>
      </c>
      <c r="I121" s="70">
        <v>1</v>
      </c>
    </row>
    <row r="122" spans="2:9" ht="18.75" x14ac:dyDescent="0.3">
      <c r="B122" s="70">
        <v>119</v>
      </c>
      <c r="C122" s="70">
        <v>14022</v>
      </c>
      <c r="D122" s="71" t="s">
        <v>308</v>
      </c>
      <c r="E122" s="70" t="s">
        <v>309</v>
      </c>
      <c r="F122" s="70" t="s">
        <v>267</v>
      </c>
      <c r="G122" s="70" t="s">
        <v>55</v>
      </c>
      <c r="H122" s="70">
        <v>1</v>
      </c>
      <c r="I122" s="70">
        <v>1</v>
      </c>
    </row>
    <row r="123" spans="2:9" ht="18.75" x14ac:dyDescent="0.3">
      <c r="B123" s="70">
        <v>120</v>
      </c>
      <c r="C123" s="70">
        <v>14023</v>
      </c>
      <c r="D123" s="71" t="s">
        <v>310</v>
      </c>
      <c r="E123" s="70" t="s">
        <v>311</v>
      </c>
      <c r="F123" s="70" t="s">
        <v>267</v>
      </c>
      <c r="G123" s="70" t="s">
        <v>55</v>
      </c>
      <c r="H123" s="70">
        <v>1</v>
      </c>
      <c r="I123" s="70">
        <v>1</v>
      </c>
    </row>
    <row r="124" spans="2:9" ht="18.75" x14ac:dyDescent="0.3">
      <c r="B124" s="70">
        <v>121</v>
      </c>
      <c r="C124" s="70">
        <v>14024</v>
      </c>
      <c r="D124" s="71" t="s">
        <v>312</v>
      </c>
      <c r="E124" s="70" t="s">
        <v>313</v>
      </c>
      <c r="F124" s="70" t="s">
        <v>267</v>
      </c>
      <c r="G124" s="70" t="s">
        <v>55</v>
      </c>
      <c r="H124" s="70">
        <v>1</v>
      </c>
      <c r="I124" s="70">
        <v>1</v>
      </c>
    </row>
    <row r="125" spans="2:9" ht="18.75" x14ac:dyDescent="0.3">
      <c r="B125" s="70">
        <v>122</v>
      </c>
      <c r="C125" s="70">
        <v>14025</v>
      </c>
      <c r="D125" s="71" t="s">
        <v>314</v>
      </c>
      <c r="E125" s="70" t="s">
        <v>315</v>
      </c>
      <c r="F125" s="70" t="s">
        <v>267</v>
      </c>
      <c r="G125" s="70" t="s">
        <v>55</v>
      </c>
      <c r="H125" s="70">
        <v>1</v>
      </c>
      <c r="I125" s="70">
        <v>1</v>
      </c>
    </row>
    <row r="126" spans="2:9" ht="18.75" x14ac:dyDescent="0.3">
      <c r="B126" s="70">
        <v>123</v>
      </c>
      <c r="C126" s="70">
        <v>14026</v>
      </c>
      <c r="D126" s="71" t="s">
        <v>316</v>
      </c>
      <c r="E126" s="70" t="s">
        <v>317</v>
      </c>
      <c r="F126" s="70" t="s">
        <v>267</v>
      </c>
      <c r="G126" s="70" t="s">
        <v>55</v>
      </c>
      <c r="H126" s="70">
        <v>1</v>
      </c>
      <c r="I126" s="70">
        <v>1</v>
      </c>
    </row>
    <row r="127" spans="2:9" ht="18.75" x14ac:dyDescent="0.3">
      <c r="B127" s="70">
        <v>124</v>
      </c>
      <c r="C127" s="70">
        <v>14027</v>
      </c>
      <c r="D127" s="71" t="s">
        <v>318</v>
      </c>
      <c r="E127" s="70" t="s">
        <v>319</v>
      </c>
      <c r="F127" s="70" t="s">
        <v>267</v>
      </c>
      <c r="G127" s="70" t="s">
        <v>55</v>
      </c>
      <c r="H127" s="70">
        <v>1</v>
      </c>
      <c r="I127" s="70">
        <v>1</v>
      </c>
    </row>
    <row r="128" spans="2:9" ht="18.75" x14ac:dyDescent="0.3">
      <c r="B128" s="70">
        <v>125</v>
      </c>
      <c r="C128" s="70">
        <v>14028</v>
      </c>
      <c r="D128" s="71" t="s">
        <v>320</v>
      </c>
      <c r="E128" s="70" t="s">
        <v>321</v>
      </c>
      <c r="F128" s="70" t="s">
        <v>267</v>
      </c>
      <c r="G128" s="70" t="s">
        <v>55</v>
      </c>
      <c r="H128" s="70">
        <v>1</v>
      </c>
      <c r="I128" s="70">
        <v>1</v>
      </c>
    </row>
    <row r="129" spans="2:9" ht="18.75" x14ac:dyDescent="0.3">
      <c r="B129" s="70">
        <v>126</v>
      </c>
      <c r="C129" s="70">
        <v>14029</v>
      </c>
      <c r="D129" s="71" t="s">
        <v>322</v>
      </c>
      <c r="E129" s="70" t="s">
        <v>323</v>
      </c>
      <c r="F129" s="70" t="s">
        <v>267</v>
      </c>
      <c r="G129" s="70" t="s">
        <v>55</v>
      </c>
      <c r="H129" s="70">
        <v>1</v>
      </c>
      <c r="I129" s="70">
        <v>1</v>
      </c>
    </row>
    <row r="130" spans="2:9" ht="18.75" x14ac:dyDescent="0.3">
      <c r="B130" s="70">
        <v>127</v>
      </c>
      <c r="C130" s="70">
        <v>14030</v>
      </c>
      <c r="D130" s="71" t="s">
        <v>324</v>
      </c>
      <c r="E130" s="70" t="s">
        <v>325</v>
      </c>
      <c r="F130" s="70" t="s">
        <v>267</v>
      </c>
      <c r="G130" s="70" t="s">
        <v>55</v>
      </c>
      <c r="H130" s="70">
        <v>1</v>
      </c>
      <c r="I130" s="70">
        <v>1</v>
      </c>
    </row>
    <row r="131" spans="2:9" ht="18.75" x14ac:dyDescent="0.3">
      <c r="B131" s="70">
        <v>128</v>
      </c>
      <c r="C131" s="70">
        <v>14031</v>
      </c>
      <c r="D131" s="71" t="s">
        <v>326</v>
      </c>
      <c r="E131" s="70" t="s">
        <v>327</v>
      </c>
      <c r="F131" s="70" t="s">
        <v>267</v>
      </c>
      <c r="G131" s="70" t="s">
        <v>55</v>
      </c>
      <c r="H131" s="70">
        <v>1</v>
      </c>
      <c r="I131" s="70">
        <v>1</v>
      </c>
    </row>
    <row r="132" spans="2:9" ht="18.75" x14ac:dyDescent="0.3">
      <c r="B132" s="70">
        <v>129</v>
      </c>
      <c r="C132" s="70">
        <v>14032</v>
      </c>
      <c r="D132" s="71" t="s">
        <v>328</v>
      </c>
      <c r="E132" s="70" t="s">
        <v>329</v>
      </c>
      <c r="F132" s="70" t="s">
        <v>267</v>
      </c>
      <c r="G132" s="70" t="s">
        <v>55</v>
      </c>
      <c r="H132" s="70">
        <v>1</v>
      </c>
      <c r="I132" s="70">
        <v>1</v>
      </c>
    </row>
    <row r="133" spans="2:9" ht="18.75" x14ac:dyDescent="0.3">
      <c r="B133" s="70">
        <v>130</v>
      </c>
      <c r="C133" s="70">
        <v>15001</v>
      </c>
      <c r="D133" s="71" t="s">
        <v>330</v>
      </c>
      <c r="E133" s="70" t="s">
        <v>331</v>
      </c>
      <c r="F133" s="70" t="s">
        <v>332</v>
      </c>
      <c r="G133" s="70" t="s">
        <v>55</v>
      </c>
      <c r="H133" s="70">
        <v>1</v>
      </c>
      <c r="I133" s="70">
        <v>1</v>
      </c>
    </row>
    <row r="134" spans="2:9" ht="18.75" x14ac:dyDescent="0.3">
      <c r="B134" s="70">
        <v>131</v>
      </c>
      <c r="C134" s="70">
        <v>15002</v>
      </c>
      <c r="D134" s="71" t="s">
        <v>333</v>
      </c>
      <c r="E134" s="70" t="s">
        <v>334</v>
      </c>
      <c r="F134" s="70" t="s">
        <v>332</v>
      </c>
      <c r="G134" s="70" t="s">
        <v>55</v>
      </c>
      <c r="H134" s="70">
        <v>1</v>
      </c>
      <c r="I134" s="70">
        <v>1</v>
      </c>
    </row>
    <row r="135" spans="2:9" ht="18.75" x14ac:dyDescent="0.3">
      <c r="B135" s="70">
        <v>132</v>
      </c>
      <c r="C135" s="70">
        <v>14003</v>
      </c>
      <c r="D135" s="71" t="s">
        <v>335</v>
      </c>
      <c r="E135" s="70" t="s">
        <v>336</v>
      </c>
      <c r="F135" s="70" t="s">
        <v>332</v>
      </c>
      <c r="G135" s="70" t="s">
        <v>55</v>
      </c>
      <c r="H135" s="70">
        <v>1</v>
      </c>
      <c r="I135" s="70">
        <v>1</v>
      </c>
    </row>
    <row r="136" spans="2:9" ht="18.75" x14ac:dyDescent="0.3">
      <c r="B136" s="70">
        <v>133</v>
      </c>
      <c r="C136" s="70">
        <v>14004</v>
      </c>
      <c r="D136" s="71" t="s">
        <v>337</v>
      </c>
      <c r="E136" s="70" t="s">
        <v>338</v>
      </c>
      <c r="F136" s="70" t="s">
        <v>332</v>
      </c>
      <c r="G136" s="70" t="s">
        <v>55</v>
      </c>
      <c r="H136" s="70">
        <v>1</v>
      </c>
      <c r="I136" s="70">
        <v>1</v>
      </c>
    </row>
    <row r="137" spans="2:9" ht="18.75" x14ac:dyDescent="0.3">
      <c r="B137" s="70">
        <v>134</v>
      </c>
      <c r="C137" s="70">
        <v>15005</v>
      </c>
      <c r="D137" s="71" t="s">
        <v>339</v>
      </c>
      <c r="E137" s="70" t="s">
        <v>340</v>
      </c>
      <c r="F137" s="70" t="s">
        <v>332</v>
      </c>
      <c r="G137" s="70" t="s">
        <v>55</v>
      </c>
      <c r="H137" s="70">
        <v>1</v>
      </c>
      <c r="I137" s="70">
        <v>1</v>
      </c>
    </row>
    <row r="138" spans="2:9" ht="18.75" x14ac:dyDescent="0.3">
      <c r="B138" s="70">
        <v>135</v>
      </c>
      <c r="C138" s="70">
        <v>15006</v>
      </c>
      <c r="D138" s="71" t="s">
        <v>341</v>
      </c>
      <c r="E138" s="70" t="s">
        <v>342</v>
      </c>
      <c r="F138" s="70" t="s">
        <v>332</v>
      </c>
      <c r="G138" s="70" t="s">
        <v>55</v>
      </c>
      <c r="H138" s="70">
        <v>1</v>
      </c>
      <c r="I138" s="70">
        <v>1</v>
      </c>
    </row>
    <row r="139" spans="2:9" ht="18.75" x14ac:dyDescent="0.3">
      <c r="B139" s="70">
        <v>136</v>
      </c>
      <c r="C139" s="70">
        <v>15007</v>
      </c>
      <c r="D139" s="71" t="s">
        <v>343</v>
      </c>
      <c r="E139" s="70" t="s">
        <v>344</v>
      </c>
      <c r="F139" s="70" t="s">
        <v>332</v>
      </c>
      <c r="G139" s="70" t="s">
        <v>55</v>
      </c>
      <c r="H139" s="70">
        <v>1</v>
      </c>
      <c r="I139" s="70">
        <v>1</v>
      </c>
    </row>
    <row r="140" spans="2:9" ht="18.75" x14ac:dyDescent="0.3">
      <c r="B140" s="70">
        <v>137</v>
      </c>
      <c r="C140" s="70">
        <v>15008</v>
      </c>
      <c r="D140" s="71" t="s">
        <v>345</v>
      </c>
      <c r="E140" s="70" t="s">
        <v>346</v>
      </c>
      <c r="F140" s="70" t="s">
        <v>332</v>
      </c>
      <c r="G140" s="70" t="s">
        <v>55</v>
      </c>
      <c r="H140" s="70">
        <v>1</v>
      </c>
      <c r="I140" s="70">
        <v>1</v>
      </c>
    </row>
    <row r="141" spans="2:9" ht="18.75" x14ac:dyDescent="0.3">
      <c r="B141" s="70">
        <v>138</v>
      </c>
      <c r="C141" s="70">
        <v>15009</v>
      </c>
      <c r="D141" s="71" t="s">
        <v>347</v>
      </c>
      <c r="E141" s="70" t="s">
        <v>348</v>
      </c>
      <c r="F141" s="70" t="s">
        <v>332</v>
      </c>
      <c r="G141" s="70" t="s">
        <v>55</v>
      </c>
      <c r="H141" s="70">
        <v>1</v>
      </c>
      <c r="I141" s="70">
        <v>1</v>
      </c>
    </row>
    <row r="142" spans="2:9" ht="18.75" x14ac:dyDescent="0.3">
      <c r="B142" s="70">
        <v>139</v>
      </c>
      <c r="C142" s="70">
        <v>15010</v>
      </c>
      <c r="D142" s="71" t="s">
        <v>349</v>
      </c>
      <c r="E142" s="70" t="s">
        <v>350</v>
      </c>
      <c r="F142" s="70" t="s">
        <v>332</v>
      </c>
      <c r="G142" s="70" t="s">
        <v>55</v>
      </c>
      <c r="H142" s="70">
        <v>1</v>
      </c>
      <c r="I142" s="70">
        <v>1</v>
      </c>
    </row>
    <row r="143" spans="2:9" ht="18.75" x14ac:dyDescent="0.3">
      <c r="B143" s="70">
        <v>140</v>
      </c>
      <c r="C143" s="70">
        <v>15011</v>
      </c>
      <c r="D143" s="71" t="s">
        <v>351</v>
      </c>
      <c r="E143" s="70" t="s">
        <v>352</v>
      </c>
      <c r="F143" s="70" t="s">
        <v>332</v>
      </c>
      <c r="G143" s="70" t="s">
        <v>55</v>
      </c>
      <c r="H143" s="70">
        <v>1</v>
      </c>
      <c r="I143" s="70">
        <v>1</v>
      </c>
    </row>
    <row r="144" spans="2:9" ht="18.75" x14ac:dyDescent="0.3">
      <c r="B144" s="70">
        <v>141</v>
      </c>
      <c r="C144" s="70">
        <v>15012</v>
      </c>
      <c r="D144" s="71" t="s">
        <v>353</v>
      </c>
      <c r="E144" s="70" t="s">
        <v>354</v>
      </c>
      <c r="F144" s="70" t="s">
        <v>332</v>
      </c>
      <c r="G144" s="70" t="s">
        <v>55</v>
      </c>
      <c r="H144" s="70">
        <v>1</v>
      </c>
      <c r="I144" s="70">
        <v>1</v>
      </c>
    </row>
    <row r="145" spans="2:9" ht="18.75" x14ac:dyDescent="0.3">
      <c r="B145" s="70">
        <v>142</v>
      </c>
      <c r="C145" s="70">
        <v>15013</v>
      </c>
      <c r="D145" s="71" t="s">
        <v>355</v>
      </c>
      <c r="E145" s="70" t="s">
        <v>356</v>
      </c>
      <c r="F145" s="70" t="s">
        <v>332</v>
      </c>
      <c r="G145" s="70" t="s">
        <v>55</v>
      </c>
      <c r="H145" s="70">
        <v>1</v>
      </c>
      <c r="I145" s="70">
        <v>1</v>
      </c>
    </row>
    <row r="146" spans="2:9" ht="18.75" x14ac:dyDescent="0.3">
      <c r="B146" s="70">
        <v>143</v>
      </c>
      <c r="C146" s="70">
        <v>15014</v>
      </c>
      <c r="D146" s="71" t="s">
        <v>357</v>
      </c>
      <c r="E146" s="70" t="s">
        <v>358</v>
      </c>
      <c r="F146" s="70" t="s">
        <v>332</v>
      </c>
      <c r="G146" s="70" t="s">
        <v>55</v>
      </c>
      <c r="H146" s="70">
        <v>1</v>
      </c>
      <c r="I146" s="70">
        <v>1</v>
      </c>
    </row>
    <row r="147" spans="2:9" ht="18.75" x14ac:dyDescent="0.3">
      <c r="B147" s="70">
        <v>144</v>
      </c>
      <c r="C147" s="70">
        <v>15015</v>
      </c>
      <c r="D147" s="71" t="s">
        <v>359</v>
      </c>
      <c r="E147" s="70" t="s">
        <v>360</v>
      </c>
      <c r="F147" s="70" t="s">
        <v>332</v>
      </c>
      <c r="G147" s="70" t="s">
        <v>55</v>
      </c>
      <c r="H147" s="70">
        <v>1</v>
      </c>
      <c r="I147" s="70">
        <v>1</v>
      </c>
    </row>
    <row r="148" spans="2:9" ht="18.75" x14ac:dyDescent="0.3">
      <c r="B148" s="70">
        <v>145</v>
      </c>
      <c r="C148" s="70">
        <v>15016</v>
      </c>
      <c r="D148" s="71" t="s">
        <v>361</v>
      </c>
      <c r="E148" s="70" t="s">
        <v>362</v>
      </c>
      <c r="F148" s="70" t="s">
        <v>332</v>
      </c>
      <c r="G148" s="70" t="s">
        <v>55</v>
      </c>
      <c r="H148" s="70">
        <v>1</v>
      </c>
      <c r="I148" s="70">
        <v>1</v>
      </c>
    </row>
    <row r="149" spans="2:9" ht="18.75" x14ac:dyDescent="0.3">
      <c r="B149" s="70">
        <v>146</v>
      </c>
      <c r="C149" s="70">
        <v>15017</v>
      </c>
      <c r="D149" s="71" t="s">
        <v>363</v>
      </c>
      <c r="E149" s="70" t="s">
        <v>364</v>
      </c>
      <c r="F149" s="70" t="s">
        <v>332</v>
      </c>
      <c r="G149" s="70" t="s">
        <v>55</v>
      </c>
      <c r="H149" s="70">
        <v>1</v>
      </c>
      <c r="I149" s="70">
        <v>1</v>
      </c>
    </row>
    <row r="150" spans="2:9" ht="18.75" x14ac:dyDescent="0.3">
      <c r="B150" s="70">
        <v>147</v>
      </c>
      <c r="C150" s="70">
        <v>15018</v>
      </c>
      <c r="D150" s="71" t="s">
        <v>365</v>
      </c>
      <c r="E150" s="70" t="s">
        <v>366</v>
      </c>
      <c r="F150" s="70" t="s">
        <v>332</v>
      </c>
      <c r="G150" s="70" t="s">
        <v>55</v>
      </c>
      <c r="H150" s="70">
        <v>1</v>
      </c>
      <c r="I150" s="70">
        <v>1</v>
      </c>
    </row>
    <row r="151" spans="2:9" ht="18.75" x14ac:dyDescent="0.3">
      <c r="B151" s="70">
        <v>148</v>
      </c>
      <c r="C151" s="70">
        <v>15019</v>
      </c>
      <c r="D151" s="71" t="s">
        <v>367</v>
      </c>
      <c r="E151" s="70" t="s">
        <v>368</v>
      </c>
      <c r="F151" s="70" t="s">
        <v>332</v>
      </c>
      <c r="G151" s="70" t="s">
        <v>55</v>
      </c>
      <c r="H151" s="70">
        <v>1</v>
      </c>
      <c r="I151" s="70">
        <v>1</v>
      </c>
    </row>
    <row r="152" spans="2:9" ht="18.75" x14ac:dyDescent="0.3">
      <c r="B152" s="70">
        <v>149</v>
      </c>
      <c r="C152" s="70">
        <v>15020</v>
      </c>
      <c r="D152" s="71" t="s">
        <v>369</v>
      </c>
      <c r="E152" s="70" t="s">
        <v>370</v>
      </c>
      <c r="F152" s="70" t="s">
        <v>332</v>
      </c>
      <c r="G152" s="70" t="s">
        <v>55</v>
      </c>
      <c r="H152" s="70">
        <v>1</v>
      </c>
      <c r="I152" s="70">
        <v>1</v>
      </c>
    </row>
    <row r="153" spans="2:9" ht="18.75" x14ac:dyDescent="0.3">
      <c r="B153" s="70">
        <v>150</v>
      </c>
      <c r="C153" s="70">
        <v>15021</v>
      </c>
      <c r="D153" s="71" t="s">
        <v>371</v>
      </c>
      <c r="E153" s="70" t="s">
        <v>372</v>
      </c>
      <c r="F153" s="70" t="s">
        <v>332</v>
      </c>
      <c r="G153" s="70" t="s">
        <v>55</v>
      </c>
      <c r="H153" s="70">
        <v>1</v>
      </c>
      <c r="I153" s="70">
        <v>1</v>
      </c>
    </row>
    <row r="154" spans="2:9" ht="18.75" x14ac:dyDescent="0.3">
      <c r="B154" s="70">
        <v>151</v>
      </c>
      <c r="C154" s="70">
        <v>15022</v>
      </c>
      <c r="D154" s="71" t="s">
        <v>373</v>
      </c>
      <c r="E154" s="70" t="s">
        <v>374</v>
      </c>
      <c r="F154" s="70" t="s">
        <v>332</v>
      </c>
      <c r="G154" s="70" t="s">
        <v>55</v>
      </c>
      <c r="H154" s="70">
        <v>1</v>
      </c>
      <c r="I154" s="70">
        <v>1</v>
      </c>
    </row>
    <row r="155" spans="2:9" ht="18.75" x14ac:dyDescent="0.3">
      <c r="B155" s="70">
        <v>152</v>
      </c>
      <c r="C155" s="70">
        <v>15023</v>
      </c>
      <c r="D155" s="71" t="s">
        <v>375</v>
      </c>
      <c r="E155" s="70" t="s">
        <v>376</v>
      </c>
      <c r="F155" s="70" t="s">
        <v>332</v>
      </c>
      <c r="G155" s="70" t="s">
        <v>55</v>
      </c>
      <c r="H155" s="70">
        <v>1</v>
      </c>
      <c r="I155" s="70">
        <v>1</v>
      </c>
    </row>
    <row r="156" spans="2:9" ht="18.75" x14ac:dyDescent="0.3">
      <c r="B156" s="70">
        <v>153</v>
      </c>
      <c r="C156" s="70">
        <v>15024</v>
      </c>
      <c r="D156" s="71" t="s">
        <v>377</v>
      </c>
      <c r="E156" s="70" t="s">
        <v>378</v>
      </c>
      <c r="F156" s="70" t="s">
        <v>332</v>
      </c>
      <c r="G156" s="70" t="s">
        <v>55</v>
      </c>
      <c r="H156" s="70">
        <v>1</v>
      </c>
      <c r="I156" s="70">
        <v>1</v>
      </c>
    </row>
    <row r="157" spans="2:9" ht="18.75" x14ac:dyDescent="0.3">
      <c r="B157" s="70">
        <v>154</v>
      </c>
      <c r="C157" s="70">
        <v>15025</v>
      </c>
      <c r="D157" s="71" t="s">
        <v>379</v>
      </c>
      <c r="E157" s="70" t="s">
        <v>380</v>
      </c>
      <c r="F157" s="70" t="s">
        <v>332</v>
      </c>
      <c r="G157" s="70" t="s">
        <v>55</v>
      </c>
      <c r="H157" s="70">
        <v>1</v>
      </c>
      <c r="I157" s="70">
        <v>1</v>
      </c>
    </row>
    <row r="158" spans="2:9" ht="18.75" x14ac:dyDescent="0.3">
      <c r="B158" s="70">
        <v>155</v>
      </c>
      <c r="C158" s="70">
        <v>15026</v>
      </c>
      <c r="D158" s="71" t="s">
        <v>381</v>
      </c>
      <c r="E158" s="70" t="s">
        <v>382</v>
      </c>
      <c r="F158" s="70" t="s">
        <v>332</v>
      </c>
      <c r="G158" s="70" t="s">
        <v>55</v>
      </c>
      <c r="H158" s="70">
        <v>1</v>
      </c>
      <c r="I158" s="70">
        <v>1</v>
      </c>
    </row>
    <row r="159" spans="2:9" ht="18.75" x14ac:dyDescent="0.3">
      <c r="B159" s="70">
        <v>156</v>
      </c>
      <c r="C159" s="70">
        <v>15027</v>
      </c>
      <c r="D159" s="71" t="s">
        <v>383</v>
      </c>
      <c r="E159" s="70" t="s">
        <v>384</v>
      </c>
      <c r="F159" s="70" t="s">
        <v>332</v>
      </c>
      <c r="G159" s="70" t="s">
        <v>55</v>
      </c>
      <c r="H159" s="70">
        <v>1</v>
      </c>
      <c r="I159" s="70">
        <v>1</v>
      </c>
    </row>
    <row r="160" spans="2:9" ht="18.75" x14ac:dyDescent="0.3">
      <c r="B160" s="70">
        <v>157</v>
      </c>
      <c r="C160" s="70">
        <v>15028</v>
      </c>
      <c r="D160" s="71" t="s">
        <v>385</v>
      </c>
      <c r="E160" s="70" t="s">
        <v>386</v>
      </c>
      <c r="F160" s="70" t="s">
        <v>332</v>
      </c>
      <c r="G160" s="70" t="s">
        <v>55</v>
      </c>
      <c r="H160" s="70">
        <v>1</v>
      </c>
      <c r="I160" s="70">
        <v>1</v>
      </c>
    </row>
    <row r="161" spans="2:9" ht="18.75" x14ac:dyDescent="0.3">
      <c r="B161" s="70">
        <v>158</v>
      </c>
      <c r="C161" s="70">
        <v>15029</v>
      </c>
      <c r="D161" s="71" t="s">
        <v>387</v>
      </c>
      <c r="E161" s="70" t="s">
        <v>388</v>
      </c>
      <c r="F161" s="70" t="s">
        <v>332</v>
      </c>
      <c r="G161" s="70" t="s">
        <v>55</v>
      </c>
      <c r="H161" s="70">
        <v>1</v>
      </c>
      <c r="I161" s="70">
        <v>1</v>
      </c>
    </row>
    <row r="162" spans="2:9" ht="18.75" x14ac:dyDescent="0.3">
      <c r="B162" s="70">
        <v>159</v>
      </c>
      <c r="C162" s="70">
        <v>15030</v>
      </c>
      <c r="D162" s="71" t="s">
        <v>389</v>
      </c>
      <c r="E162" s="70" t="s">
        <v>390</v>
      </c>
      <c r="F162" s="70" t="s">
        <v>332</v>
      </c>
      <c r="G162" s="70" t="s">
        <v>55</v>
      </c>
      <c r="H162" s="70">
        <v>1</v>
      </c>
      <c r="I162" s="70">
        <v>1</v>
      </c>
    </row>
    <row r="163" spans="2:9" ht="18.75" x14ac:dyDescent="0.3">
      <c r="B163" s="70">
        <v>160</v>
      </c>
      <c r="C163" s="70">
        <v>15031</v>
      </c>
      <c r="D163" s="71" t="s">
        <v>391</v>
      </c>
      <c r="E163" s="70" t="s">
        <v>392</v>
      </c>
      <c r="F163" s="70" t="s">
        <v>332</v>
      </c>
      <c r="G163" s="70" t="s">
        <v>55</v>
      </c>
      <c r="H163" s="70">
        <v>1</v>
      </c>
      <c r="I163" s="70">
        <v>1</v>
      </c>
    </row>
    <row r="164" spans="2:9" ht="18.75" x14ac:dyDescent="0.3">
      <c r="B164" s="70">
        <v>161</v>
      </c>
      <c r="C164" s="70">
        <v>15032</v>
      </c>
      <c r="D164" s="71" t="s">
        <v>393</v>
      </c>
      <c r="E164" s="70" t="s">
        <v>394</v>
      </c>
      <c r="F164" s="70" t="s">
        <v>332</v>
      </c>
      <c r="G164" s="70" t="s">
        <v>55</v>
      </c>
      <c r="H164" s="70">
        <v>1</v>
      </c>
      <c r="I164" s="70">
        <v>1</v>
      </c>
    </row>
    <row r="165" spans="2:9" ht="18.75" x14ac:dyDescent="0.3">
      <c r="B165" s="70">
        <v>162</v>
      </c>
      <c r="C165" s="70">
        <v>16001</v>
      </c>
      <c r="D165" s="71" t="s">
        <v>395</v>
      </c>
      <c r="E165" s="70" t="s">
        <v>396</v>
      </c>
      <c r="F165" s="70" t="s">
        <v>397</v>
      </c>
      <c r="G165" s="70" t="s">
        <v>55</v>
      </c>
      <c r="H165" s="70">
        <v>1</v>
      </c>
      <c r="I165" s="70">
        <v>1</v>
      </c>
    </row>
    <row r="166" spans="2:9" ht="18.75" x14ac:dyDescent="0.3">
      <c r="B166" s="70">
        <v>163</v>
      </c>
      <c r="C166" s="70">
        <v>16002</v>
      </c>
      <c r="D166" s="71" t="s">
        <v>398</v>
      </c>
      <c r="E166" s="70" t="s">
        <v>399</v>
      </c>
      <c r="F166" s="70" t="s">
        <v>397</v>
      </c>
      <c r="G166" s="70" t="s">
        <v>55</v>
      </c>
      <c r="H166" s="70">
        <v>1</v>
      </c>
      <c r="I166" s="70">
        <v>1</v>
      </c>
    </row>
    <row r="167" spans="2:9" ht="18.75" x14ac:dyDescent="0.3">
      <c r="B167" s="70">
        <v>164</v>
      </c>
      <c r="C167" s="70">
        <v>16003</v>
      </c>
      <c r="D167" s="71" t="s">
        <v>400</v>
      </c>
      <c r="E167" s="70" t="s">
        <v>401</v>
      </c>
      <c r="F167" s="70" t="s">
        <v>397</v>
      </c>
      <c r="G167" s="70" t="s">
        <v>55</v>
      </c>
      <c r="H167" s="70">
        <v>1</v>
      </c>
      <c r="I167" s="70">
        <v>1</v>
      </c>
    </row>
    <row r="168" spans="2:9" ht="18.75" x14ac:dyDescent="0.3">
      <c r="B168" s="70">
        <v>165</v>
      </c>
      <c r="C168" s="70">
        <v>16004</v>
      </c>
      <c r="D168" s="71" t="s">
        <v>402</v>
      </c>
      <c r="E168" s="70" t="s">
        <v>403</v>
      </c>
      <c r="F168" s="70" t="s">
        <v>397</v>
      </c>
      <c r="G168" s="70" t="s">
        <v>55</v>
      </c>
      <c r="H168" s="70">
        <v>1</v>
      </c>
      <c r="I168" s="70">
        <v>1</v>
      </c>
    </row>
    <row r="169" spans="2:9" ht="18.75" x14ac:dyDescent="0.3">
      <c r="B169" s="70">
        <v>166</v>
      </c>
      <c r="C169" s="70">
        <v>16005</v>
      </c>
      <c r="D169" s="71" t="s">
        <v>404</v>
      </c>
      <c r="E169" s="70" t="s">
        <v>405</v>
      </c>
      <c r="F169" s="70" t="s">
        <v>397</v>
      </c>
      <c r="G169" s="70" t="s">
        <v>55</v>
      </c>
      <c r="H169" s="70">
        <v>1</v>
      </c>
      <c r="I169" s="70">
        <v>1</v>
      </c>
    </row>
    <row r="170" spans="2:9" ht="18.75" x14ac:dyDescent="0.3">
      <c r="B170" s="70">
        <v>167</v>
      </c>
      <c r="C170" s="70">
        <v>16006</v>
      </c>
      <c r="D170" s="71" t="s">
        <v>406</v>
      </c>
      <c r="E170" s="70" t="s">
        <v>407</v>
      </c>
      <c r="F170" s="70" t="s">
        <v>397</v>
      </c>
      <c r="G170" s="70" t="s">
        <v>55</v>
      </c>
      <c r="H170" s="70">
        <v>1</v>
      </c>
      <c r="I170" s="70">
        <v>1</v>
      </c>
    </row>
    <row r="171" spans="2:9" ht="18.75" x14ac:dyDescent="0.3">
      <c r="B171" s="70">
        <v>168</v>
      </c>
      <c r="C171" s="70">
        <v>16007</v>
      </c>
      <c r="D171" s="71" t="s">
        <v>408</v>
      </c>
      <c r="E171" s="70" t="s">
        <v>409</v>
      </c>
      <c r="F171" s="70" t="s">
        <v>397</v>
      </c>
      <c r="G171" s="70" t="s">
        <v>55</v>
      </c>
      <c r="H171" s="70">
        <v>1</v>
      </c>
      <c r="I171" s="70">
        <v>1</v>
      </c>
    </row>
    <row r="172" spans="2:9" ht="18.75" x14ac:dyDescent="0.3">
      <c r="B172" s="70">
        <v>169</v>
      </c>
      <c r="C172" s="70">
        <v>16008</v>
      </c>
      <c r="D172" s="71" t="s">
        <v>410</v>
      </c>
      <c r="E172" s="70" t="s">
        <v>411</v>
      </c>
      <c r="F172" s="70" t="s">
        <v>397</v>
      </c>
      <c r="G172" s="70" t="s">
        <v>55</v>
      </c>
      <c r="H172" s="70">
        <v>1</v>
      </c>
      <c r="I172" s="70">
        <v>1</v>
      </c>
    </row>
    <row r="173" spans="2:9" ht="18.75" x14ac:dyDescent="0.3">
      <c r="B173" s="70">
        <v>170</v>
      </c>
      <c r="C173" s="70">
        <v>16009</v>
      </c>
      <c r="D173" s="71" t="s">
        <v>412</v>
      </c>
      <c r="E173" s="70" t="s">
        <v>413</v>
      </c>
      <c r="F173" s="70" t="s">
        <v>397</v>
      </c>
      <c r="G173" s="70" t="s">
        <v>55</v>
      </c>
      <c r="H173" s="70">
        <v>1</v>
      </c>
      <c r="I173" s="70">
        <v>1</v>
      </c>
    </row>
    <row r="174" spans="2:9" ht="18.75" x14ac:dyDescent="0.3">
      <c r="B174" s="70">
        <v>171</v>
      </c>
      <c r="C174" s="70">
        <v>16010</v>
      </c>
      <c r="D174" s="71" t="s">
        <v>414</v>
      </c>
      <c r="E174" s="70" t="s">
        <v>415</v>
      </c>
      <c r="F174" s="70" t="s">
        <v>397</v>
      </c>
      <c r="G174" s="70" t="s">
        <v>55</v>
      </c>
      <c r="H174" s="70">
        <v>1</v>
      </c>
      <c r="I174" s="70">
        <v>1</v>
      </c>
    </row>
    <row r="175" spans="2:9" ht="18.75" x14ac:dyDescent="0.3">
      <c r="B175" s="70">
        <v>172</v>
      </c>
      <c r="C175" s="70">
        <v>16011</v>
      </c>
      <c r="D175" s="71" t="s">
        <v>416</v>
      </c>
      <c r="E175" s="70" t="s">
        <v>417</v>
      </c>
      <c r="F175" s="70" t="s">
        <v>397</v>
      </c>
      <c r="G175" s="70" t="s">
        <v>55</v>
      </c>
      <c r="H175" s="70">
        <v>1</v>
      </c>
      <c r="I175" s="70">
        <v>1</v>
      </c>
    </row>
    <row r="176" spans="2:9" ht="18.75" x14ac:dyDescent="0.3">
      <c r="B176" s="70">
        <v>173</v>
      </c>
      <c r="C176" s="70">
        <v>16012</v>
      </c>
      <c r="D176" s="71" t="s">
        <v>418</v>
      </c>
      <c r="E176" s="70" t="s">
        <v>419</v>
      </c>
      <c r="F176" s="70" t="s">
        <v>397</v>
      </c>
      <c r="G176" s="70" t="s">
        <v>55</v>
      </c>
      <c r="H176" s="70">
        <v>1</v>
      </c>
      <c r="I176" s="70">
        <v>1</v>
      </c>
    </row>
    <row r="177" spans="2:9" ht="18.75" x14ac:dyDescent="0.3">
      <c r="B177" s="70">
        <v>174</v>
      </c>
      <c r="C177" s="70">
        <v>16013</v>
      </c>
      <c r="D177" s="71" t="s">
        <v>420</v>
      </c>
      <c r="E177" s="70" t="s">
        <v>421</v>
      </c>
      <c r="F177" s="70" t="s">
        <v>397</v>
      </c>
      <c r="G177" s="70" t="s">
        <v>55</v>
      </c>
      <c r="H177" s="70">
        <v>1</v>
      </c>
      <c r="I177" s="70">
        <v>1</v>
      </c>
    </row>
    <row r="178" spans="2:9" ht="18.75" x14ac:dyDescent="0.3">
      <c r="B178" s="70">
        <v>175</v>
      </c>
      <c r="C178" s="70">
        <v>16014</v>
      </c>
      <c r="D178" s="71" t="s">
        <v>422</v>
      </c>
      <c r="E178" s="70" t="s">
        <v>423</v>
      </c>
      <c r="F178" s="70" t="s">
        <v>397</v>
      </c>
      <c r="G178" s="70" t="s">
        <v>55</v>
      </c>
      <c r="H178" s="70">
        <v>1</v>
      </c>
      <c r="I178" s="70">
        <v>1</v>
      </c>
    </row>
    <row r="179" spans="2:9" ht="18.75" x14ac:dyDescent="0.3">
      <c r="B179" s="70">
        <v>176</v>
      </c>
      <c r="C179" s="70">
        <v>16015</v>
      </c>
      <c r="D179" s="71" t="s">
        <v>424</v>
      </c>
      <c r="E179" s="70" t="s">
        <v>425</v>
      </c>
      <c r="F179" s="70" t="s">
        <v>397</v>
      </c>
      <c r="G179" s="70" t="s">
        <v>55</v>
      </c>
      <c r="H179" s="70">
        <v>1</v>
      </c>
      <c r="I179" s="70">
        <v>1</v>
      </c>
    </row>
    <row r="180" spans="2:9" ht="18.75" x14ac:dyDescent="0.3">
      <c r="B180" s="70">
        <v>177</v>
      </c>
      <c r="C180" s="70">
        <v>16016</v>
      </c>
      <c r="D180" s="71" t="s">
        <v>426</v>
      </c>
      <c r="E180" s="70" t="s">
        <v>427</v>
      </c>
      <c r="F180" s="70" t="s">
        <v>397</v>
      </c>
      <c r="G180" s="70" t="s">
        <v>55</v>
      </c>
      <c r="H180" s="70">
        <v>1</v>
      </c>
      <c r="I180" s="70">
        <v>1</v>
      </c>
    </row>
    <row r="181" spans="2:9" ht="18.75" x14ac:dyDescent="0.3">
      <c r="B181" s="70">
        <v>178</v>
      </c>
      <c r="C181" s="70">
        <v>16017</v>
      </c>
      <c r="D181" s="71" t="s">
        <v>428</v>
      </c>
      <c r="E181" s="70" t="s">
        <v>429</v>
      </c>
      <c r="F181" s="70" t="s">
        <v>397</v>
      </c>
      <c r="G181" s="70" t="s">
        <v>55</v>
      </c>
      <c r="H181" s="70">
        <v>1</v>
      </c>
      <c r="I181" s="70">
        <v>1</v>
      </c>
    </row>
    <row r="182" spans="2:9" ht="18.75" x14ac:dyDescent="0.3">
      <c r="B182" s="70">
        <v>179</v>
      </c>
      <c r="C182" s="70">
        <v>16018</v>
      </c>
      <c r="D182" s="71" t="s">
        <v>430</v>
      </c>
      <c r="E182" s="70" t="s">
        <v>431</v>
      </c>
      <c r="F182" s="70" t="s">
        <v>397</v>
      </c>
      <c r="G182" s="70" t="s">
        <v>55</v>
      </c>
      <c r="H182" s="70">
        <v>1</v>
      </c>
      <c r="I182" s="70">
        <v>1</v>
      </c>
    </row>
    <row r="183" spans="2:9" ht="18.75" x14ac:dyDescent="0.3">
      <c r="B183" s="70">
        <v>180</v>
      </c>
      <c r="C183" s="70">
        <v>16019</v>
      </c>
      <c r="D183" s="71" t="s">
        <v>432</v>
      </c>
      <c r="E183" s="70" t="s">
        <v>433</v>
      </c>
      <c r="F183" s="70" t="s">
        <v>397</v>
      </c>
      <c r="G183" s="70" t="s">
        <v>55</v>
      </c>
      <c r="H183" s="70">
        <v>1</v>
      </c>
      <c r="I183" s="70">
        <v>1</v>
      </c>
    </row>
    <row r="184" spans="2:9" ht="18.75" x14ac:dyDescent="0.3">
      <c r="B184" s="70">
        <v>181</v>
      </c>
      <c r="C184" s="70">
        <v>16020</v>
      </c>
      <c r="D184" s="71" t="s">
        <v>434</v>
      </c>
      <c r="E184" s="70" t="s">
        <v>435</v>
      </c>
      <c r="F184" s="70" t="s">
        <v>397</v>
      </c>
      <c r="G184" s="70" t="s">
        <v>55</v>
      </c>
      <c r="H184" s="70">
        <v>1</v>
      </c>
      <c r="I184" s="70">
        <v>1</v>
      </c>
    </row>
    <row r="185" spans="2:9" ht="18.75" x14ac:dyDescent="0.3">
      <c r="B185" s="70">
        <v>182</v>
      </c>
      <c r="C185" s="70">
        <v>16021</v>
      </c>
      <c r="D185" s="71" t="s">
        <v>436</v>
      </c>
      <c r="E185" s="70" t="s">
        <v>437</v>
      </c>
      <c r="F185" s="70" t="s">
        <v>397</v>
      </c>
      <c r="G185" s="70" t="s">
        <v>55</v>
      </c>
      <c r="H185" s="70">
        <v>1</v>
      </c>
      <c r="I185" s="70">
        <v>1</v>
      </c>
    </row>
    <row r="186" spans="2:9" ht="18.75" x14ac:dyDescent="0.3">
      <c r="B186" s="70">
        <v>183</v>
      </c>
      <c r="C186" s="70">
        <v>16022</v>
      </c>
      <c r="D186" s="71" t="s">
        <v>438</v>
      </c>
      <c r="E186" s="70" t="s">
        <v>439</v>
      </c>
      <c r="F186" s="70" t="s">
        <v>397</v>
      </c>
      <c r="G186" s="70" t="s">
        <v>55</v>
      </c>
      <c r="H186" s="70">
        <v>1</v>
      </c>
      <c r="I186" s="70">
        <v>1</v>
      </c>
    </row>
    <row r="187" spans="2:9" ht="18.75" x14ac:dyDescent="0.3">
      <c r="B187" s="70">
        <v>184</v>
      </c>
      <c r="C187" s="70">
        <v>16023</v>
      </c>
      <c r="D187" s="71" t="s">
        <v>440</v>
      </c>
      <c r="E187" s="70" t="s">
        <v>441</v>
      </c>
      <c r="F187" s="70" t="s">
        <v>397</v>
      </c>
      <c r="G187" s="70" t="s">
        <v>55</v>
      </c>
      <c r="H187" s="70">
        <v>1</v>
      </c>
      <c r="I187" s="70">
        <v>1</v>
      </c>
    </row>
    <row r="188" spans="2:9" ht="18.75" x14ac:dyDescent="0.3">
      <c r="B188" s="70">
        <v>185</v>
      </c>
      <c r="C188" s="70">
        <v>16024</v>
      </c>
      <c r="D188" s="71" t="s">
        <v>442</v>
      </c>
      <c r="E188" s="70" t="s">
        <v>443</v>
      </c>
      <c r="F188" s="70" t="s">
        <v>397</v>
      </c>
      <c r="G188" s="70" t="s">
        <v>55</v>
      </c>
      <c r="H188" s="70">
        <v>1</v>
      </c>
      <c r="I188" s="70">
        <v>1</v>
      </c>
    </row>
    <row r="189" spans="2:9" ht="18.75" x14ac:dyDescent="0.3">
      <c r="B189" s="70">
        <v>186</v>
      </c>
      <c r="C189" s="70">
        <v>16025</v>
      </c>
      <c r="D189" s="71" t="s">
        <v>444</v>
      </c>
      <c r="E189" s="70" t="s">
        <v>445</v>
      </c>
      <c r="F189" s="70" t="s">
        <v>397</v>
      </c>
      <c r="G189" s="70" t="s">
        <v>55</v>
      </c>
      <c r="H189" s="70">
        <v>1</v>
      </c>
      <c r="I189" s="70">
        <v>1</v>
      </c>
    </row>
    <row r="190" spans="2:9" ht="18.75" x14ac:dyDescent="0.3">
      <c r="B190" s="70">
        <v>187</v>
      </c>
      <c r="C190" s="70">
        <v>16026</v>
      </c>
      <c r="D190" s="71" t="s">
        <v>446</v>
      </c>
      <c r="E190" s="70" t="s">
        <v>447</v>
      </c>
      <c r="F190" s="70" t="s">
        <v>397</v>
      </c>
      <c r="G190" s="70" t="s">
        <v>55</v>
      </c>
      <c r="H190" s="70">
        <v>1</v>
      </c>
      <c r="I190" s="70">
        <v>1</v>
      </c>
    </row>
    <row r="191" spans="2:9" ht="18.75" x14ac:dyDescent="0.3">
      <c r="B191" s="70">
        <v>188</v>
      </c>
      <c r="C191" s="70">
        <v>16027</v>
      </c>
      <c r="D191" s="71" t="s">
        <v>448</v>
      </c>
      <c r="E191" s="70" t="s">
        <v>449</v>
      </c>
      <c r="F191" s="70" t="s">
        <v>397</v>
      </c>
      <c r="G191" s="70" t="s">
        <v>55</v>
      </c>
      <c r="H191" s="70">
        <v>1</v>
      </c>
      <c r="I191" s="70">
        <v>1</v>
      </c>
    </row>
    <row r="192" spans="2:9" ht="18.75" x14ac:dyDescent="0.3">
      <c r="B192" s="70">
        <v>189</v>
      </c>
      <c r="C192" s="70">
        <v>16028</v>
      </c>
      <c r="D192" s="71" t="s">
        <v>450</v>
      </c>
      <c r="E192" s="70" t="s">
        <v>451</v>
      </c>
      <c r="F192" s="70" t="s">
        <v>397</v>
      </c>
      <c r="G192" s="70" t="s">
        <v>55</v>
      </c>
      <c r="H192" s="70">
        <v>1</v>
      </c>
      <c r="I192" s="70">
        <v>1</v>
      </c>
    </row>
    <row r="193" spans="2:9" ht="18.75" x14ac:dyDescent="0.3">
      <c r="B193" s="70">
        <v>190</v>
      </c>
      <c r="C193" s="70">
        <v>16029</v>
      </c>
      <c r="D193" s="71" t="s">
        <v>452</v>
      </c>
      <c r="E193" s="70" t="s">
        <v>453</v>
      </c>
      <c r="F193" s="70" t="s">
        <v>397</v>
      </c>
      <c r="G193" s="70" t="s">
        <v>55</v>
      </c>
      <c r="H193" s="70">
        <v>1</v>
      </c>
      <c r="I193" s="70">
        <v>1</v>
      </c>
    </row>
    <row r="194" spans="2:9" ht="18.75" x14ac:dyDescent="0.3">
      <c r="B194" s="70">
        <v>191</v>
      </c>
      <c r="C194" s="70">
        <v>16030</v>
      </c>
      <c r="D194" s="71" t="s">
        <v>454</v>
      </c>
      <c r="E194" s="70" t="s">
        <v>455</v>
      </c>
      <c r="F194" s="70" t="s">
        <v>397</v>
      </c>
      <c r="G194" s="70" t="s">
        <v>55</v>
      </c>
      <c r="H194" s="70">
        <v>1</v>
      </c>
      <c r="I194" s="70">
        <v>1</v>
      </c>
    </row>
    <row r="195" spans="2:9" ht="18.75" x14ac:dyDescent="0.3">
      <c r="B195" s="70">
        <v>192</v>
      </c>
      <c r="C195" s="70">
        <v>16031</v>
      </c>
      <c r="D195" s="71" t="s">
        <v>456</v>
      </c>
      <c r="E195" s="70" t="s">
        <v>457</v>
      </c>
      <c r="F195" s="70" t="s">
        <v>397</v>
      </c>
      <c r="G195" s="70" t="s">
        <v>55</v>
      </c>
      <c r="H195" s="70">
        <v>1</v>
      </c>
      <c r="I195" s="70">
        <v>1</v>
      </c>
    </row>
    <row r="196" spans="2:9" ht="18.75" x14ac:dyDescent="0.3">
      <c r="B196" s="70">
        <v>193</v>
      </c>
      <c r="C196" s="70">
        <v>16032</v>
      </c>
      <c r="D196" s="71" t="s">
        <v>458</v>
      </c>
      <c r="E196" s="70" t="s">
        <v>459</v>
      </c>
      <c r="F196" s="70" t="s">
        <v>397</v>
      </c>
      <c r="G196" s="70" t="s">
        <v>55</v>
      </c>
      <c r="H196" s="70">
        <v>1</v>
      </c>
      <c r="I196" s="70">
        <v>1</v>
      </c>
    </row>
    <row r="197" spans="2:9" ht="18.75" x14ac:dyDescent="0.3">
      <c r="B197" s="70">
        <v>194</v>
      </c>
      <c r="C197" s="70">
        <v>17001</v>
      </c>
      <c r="D197" s="71" t="s">
        <v>460</v>
      </c>
      <c r="E197" s="70" t="s">
        <v>461</v>
      </c>
      <c r="F197" s="70" t="s">
        <v>462</v>
      </c>
      <c r="G197" s="70" t="s">
        <v>55</v>
      </c>
      <c r="H197" s="70">
        <v>1</v>
      </c>
      <c r="I197" s="70">
        <v>1</v>
      </c>
    </row>
    <row r="198" spans="2:9" ht="18.75" x14ac:dyDescent="0.3">
      <c r="B198" s="70">
        <v>195</v>
      </c>
      <c r="C198" s="70">
        <v>17002</v>
      </c>
      <c r="D198" s="71" t="s">
        <v>463</v>
      </c>
      <c r="E198" s="70" t="s">
        <v>464</v>
      </c>
      <c r="F198" s="70" t="s">
        <v>462</v>
      </c>
      <c r="G198" s="70" t="s">
        <v>55</v>
      </c>
      <c r="H198" s="70">
        <v>1</v>
      </c>
      <c r="I198" s="70">
        <v>1</v>
      </c>
    </row>
    <row r="199" spans="2:9" ht="18.75" x14ac:dyDescent="0.3">
      <c r="B199" s="70">
        <v>196</v>
      </c>
      <c r="C199" s="70">
        <v>17003</v>
      </c>
      <c r="D199" s="71" t="s">
        <v>465</v>
      </c>
      <c r="E199" s="70" t="s">
        <v>466</v>
      </c>
      <c r="F199" s="70" t="s">
        <v>462</v>
      </c>
      <c r="G199" s="70" t="s">
        <v>55</v>
      </c>
      <c r="H199" s="70">
        <v>1</v>
      </c>
      <c r="I199" s="70">
        <v>1</v>
      </c>
    </row>
    <row r="200" spans="2:9" ht="18.75" x14ac:dyDescent="0.3">
      <c r="B200" s="70">
        <v>197</v>
      </c>
      <c r="C200" s="70">
        <v>17004</v>
      </c>
      <c r="D200" s="71" t="s">
        <v>467</v>
      </c>
      <c r="E200" s="70" t="s">
        <v>468</v>
      </c>
      <c r="F200" s="70" t="s">
        <v>462</v>
      </c>
      <c r="G200" s="70" t="s">
        <v>55</v>
      </c>
      <c r="H200" s="70">
        <v>1</v>
      </c>
      <c r="I200" s="70">
        <v>1</v>
      </c>
    </row>
    <row r="201" spans="2:9" ht="18.75" x14ac:dyDescent="0.3">
      <c r="B201" s="70">
        <v>198</v>
      </c>
      <c r="C201" s="70">
        <v>17005</v>
      </c>
      <c r="D201" s="71" t="s">
        <v>469</v>
      </c>
      <c r="E201" s="70" t="s">
        <v>470</v>
      </c>
      <c r="F201" s="70" t="s">
        <v>462</v>
      </c>
      <c r="G201" s="70" t="s">
        <v>55</v>
      </c>
      <c r="H201" s="70">
        <v>1</v>
      </c>
      <c r="I201" s="70">
        <v>1</v>
      </c>
    </row>
    <row r="202" spans="2:9" ht="18.75" x14ac:dyDescent="0.3">
      <c r="B202" s="70">
        <v>199</v>
      </c>
      <c r="C202" s="70">
        <v>17006</v>
      </c>
      <c r="D202" s="71" t="s">
        <v>471</v>
      </c>
      <c r="E202" s="70" t="s">
        <v>472</v>
      </c>
      <c r="F202" s="70" t="s">
        <v>462</v>
      </c>
      <c r="G202" s="70" t="s">
        <v>55</v>
      </c>
      <c r="H202" s="70">
        <v>1</v>
      </c>
      <c r="I202" s="70">
        <v>1</v>
      </c>
    </row>
    <row r="203" spans="2:9" ht="18.75" x14ac:dyDescent="0.3">
      <c r="B203" s="70">
        <v>200</v>
      </c>
      <c r="C203" s="70">
        <v>17007</v>
      </c>
      <c r="D203" s="71" t="s">
        <v>473</v>
      </c>
      <c r="E203" s="70" t="s">
        <v>474</v>
      </c>
      <c r="F203" s="70" t="s">
        <v>462</v>
      </c>
      <c r="G203" s="70" t="s">
        <v>55</v>
      </c>
      <c r="H203" s="70">
        <v>1</v>
      </c>
      <c r="I203" s="70">
        <v>1</v>
      </c>
    </row>
    <row r="204" spans="2:9" ht="18.75" x14ac:dyDescent="0.3">
      <c r="B204" s="70">
        <v>201</v>
      </c>
      <c r="C204" s="70">
        <v>17008</v>
      </c>
      <c r="D204" s="71" t="s">
        <v>475</v>
      </c>
      <c r="E204" s="70" t="s">
        <v>476</v>
      </c>
      <c r="F204" s="70" t="s">
        <v>462</v>
      </c>
      <c r="G204" s="70" t="s">
        <v>55</v>
      </c>
      <c r="H204" s="70">
        <v>1</v>
      </c>
      <c r="I204" s="70">
        <v>1</v>
      </c>
    </row>
    <row r="205" spans="2:9" ht="18.75" x14ac:dyDescent="0.3">
      <c r="B205" s="70">
        <v>202</v>
      </c>
      <c r="C205" s="70">
        <v>17009</v>
      </c>
      <c r="D205" s="71" t="s">
        <v>477</v>
      </c>
      <c r="E205" s="70" t="s">
        <v>478</v>
      </c>
      <c r="F205" s="70" t="s">
        <v>462</v>
      </c>
      <c r="G205" s="70" t="s">
        <v>55</v>
      </c>
      <c r="H205" s="70">
        <v>1</v>
      </c>
      <c r="I205" s="70">
        <v>1</v>
      </c>
    </row>
    <row r="206" spans="2:9" ht="18.75" x14ac:dyDescent="0.3">
      <c r="B206" s="70">
        <v>203</v>
      </c>
      <c r="C206" s="70">
        <v>17010</v>
      </c>
      <c r="D206" s="71" t="s">
        <v>479</v>
      </c>
      <c r="E206" s="70" t="s">
        <v>480</v>
      </c>
      <c r="F206" s="70" t="s">
        <v>462</v>
      </c>
      <c r="G206" s="70" t="s">
        <v>55</v>
      </c>
      <c r="H206" s="70">
        <v>1</v>
      </c>
      <c r="I206" s="70">
        <v>1</v>
      </c>
    </row>
    <row r="207" spans="2:9" ht="18.75" x14ac:dyDescent="0.3">
      <c r="B207" s="70">
        <v>204</v>
      </c>
      <c r="C207" s="70">
        <v>17011</v>
      </c>
      <c r="D207" s="71" t="s">
        <v>481</v>
      </c>
      <c r="E207" s="70" t="s">
        <v>482</v>
      </c>
      <c r="F207" s="70" t="s">
        <v>462</v>
      </c>
      <c r="G207" s="70" t="s">
        <v>55</v>
      </c>
      <c r="H207" s="70">
        <v>1</v>
      </c>
      <c r="I207" s="70">
        <v>1</v>
      </c>
    </row>
    <row r="208" spans="2:9" ht="18.75" x14ac:dyDescent="0.3">
      <c r="B208" s="70">
        <v>205</v>
      </c>
      <c r="C208" s="70">
        <v>17012</v>
      </c>
      <c r="D208" s="71" t="s">
        <v>483</v>
      </c>
      <c r="E208" s="70" t="s">
        <v>484</v>
      </c>
      <c r="F208" s="70" t="s">
        <v>462</v>
      </c>
      <c r="G208" s="70" t="s">
        <v>55</v>
      </c>
      <c r="H208" s="70">
        <v>1</v>
      </c>
      <c r="I208" s="70">
        <v>1</v>
      </c>
    </row>
    <row r="209" spans="2:9" ht="18.75" x14ac:dyDescent="0.3">
      <c r="B209" s="70">
        <v>206</v>
      </c>
      <c r="C209" s="70">
        <v>17013</v>
      </c>
      <c r="D209" s="71" t="s">
        <v>485</v>
      </c>
      <c r="E209" s="70" t="s">
        <v>486</v>
      </c>
      <c r="F209" s="70" t="s">
        <v>462</v>
      </c>
      <c r="G209" s="70" t="s">
        <v>55</v>
      </c>
      <c r="H209" s="70">
        <v>1</v>
      </c>
      <c r="I209" s="70">
        <v>1</v>
      </c>
    </row>
    <row r="210" spans="2:9" ht="18.75" x14ac:dyDescent="0.3">
      <c r="B210" s="70">
        <v>207</v>
      </c>
      <c r="C210" s="70">
        <v>17014</v>
      </c>
      <c r="D210" s="71" t="s">
        <v>487</v>
      </c>
      <c r="E210" s="70" t="s">
        <v>488</v>
      </c>
      <c r="F210" s="70" t="s">
        <v>462</v>
      </c>
      <c r="G210" s="70" t="s">
        <v>55</v>
      </c>
      <c r="H210" s="70">
        <v>1</v>
      </c>
      <c r="I210" s="70">
        <v>1</v>
      </c>
    </row>
    <row r="211" spans="2:9" ht="18.75" x14ac:dyDescent="0.3">
      <c r="B211" s="70">
        <v>208</v>
      </c>
      <c r="C211" s="70">
        <v>17015</v>
      </c>
      <c r="D211" s="71" t="s">
        <v>489</v>
      </c>
      <c r="E211" s="70" t="s">
        <v>490</v>
      </c>
      <c r="F211" s="70" t="s">
        <v>462</v>
      </c>
      <c r="G211" s="70" t="s">
        <v>55</v>
      </c>
      <c r="H211" s="70">
        <v>1</v>
      </c>
      <c r="I211" s="70">
        <v>1</v>
      </c>
    </row>
    <row r="212" spans="2:9" ht="18.75" x14ac:dyDescent="0.3">
      <c r="B212" s="70">
        <v>209</v>
      </c>
      <c r="C212" s="70">
        <v>17016</v>
      </c>
      <c r="D212" s="71" t="s">
        <v>491</v>
      </c>
      <c r="E212" s="70" t="s">
        <v>492</v>
      </c>
      <c r="F212" s="70" t="s">
        <v>462</v>
      </c>
      <c r="G212" s="70" t="s">
        <v>55</v>
      </c>
      <c r="H212" s="70">
        <v>1</v>
      </c>
      <c r="I212" s="70">
        <v>1</v>
      </c>
    </row>
    <row r="213" spans="2:9" ht="18.75" x14ac:dyDescent="0.3">
      <c r="B213" s="70">
        <v>210</v>
      </c>
      <c r="C213" s="70">
        <v>17017</v>
      </c>
      <c r="D213" s="71" t="s">
        <v>493</v>
      </c>
      <c r="E213" s="70" t="s">
        <v>494</v>
      </c>
      <c r="F213" s="70" t="s">
        <v>462</v>
      </c>
      <c r="G213" s="70" t="s">
        <v>55</v>
      </c>
      <c r="H213" s="70">
        <v>1</v>
      </c>
      <c r="I213" s="70">
        <v>1</v>
      </c>
    </row>
    <row r="214" spans="2:9" ht="18.75" x14ac:dyDescent="0.3">
      <c r="B214" s="70">
        <v>211</v>
      </c>
      <c r="C214" s="70">
        <v>17018</v>
      </c>
      <c r="D214" s="71" t="s">
        <v>495</v>
      </c>
      <c r="E214" s="70" t="s">
        <v>496</v>
      </c>
      <c r="F214" s="70" t="s">
        <v>462</v>
      </c>
      <c r="G214" s="70" t="s">
        <v>55</v>
      </c>
      <c r="H214" s="70">
        <v>1</v>
      </c>
      <c r="I214" s="70">
        <v>1</v>
      </c>
    </row>
    <row r="215" spans="2:9" ht="18.75" x14ac:dyDescent="0.3">
      <c r="B215" s="70">
        <v>212</v>
      </c>
      <c r="C215" s="70">
        <v>17019</v>
      </c>
      <c r="D215" s="71" t="s">
        <v>497</v>
      </c>
      <c r="E215" s="70" t="s">
        <v>498</v>
      </c>
      <c r="F215" s="70" t="s">
        <v>462</v>
      </c>
      <c r="G215" s="70" t="s">
        <v>55</v>
      </c>
      <c r="H215" s="70">
        <v>1</v>
      </c>
      <c r="I215" s="70">
        <v>1</v>
      </c>
    </row>
    <row r="216" spans="2:9" ht="18.75" x14ac:dyDescent="0.3">
      <c r="B216" s="70">
        <v>213</v>
      </c>
      <c r="C216" s="70">
        <v>17020</v>
      </c>
      <c r="D216" s="71" t="s">
        <v>499</v>
      </c>
      <c r="E216" s="70" t="s">
        <v>500</v>
      </c>
      <c r="F216" s="70" t="s">
        <v>462</v>
      </c>
      <c r="G216" s="70" t="s">
        <v>55</v>
      </c>
      <c r="H216" s="70">
        <v>1</v>
      </c>
      <c r="I216" s="70">
        <v>1</v>
      </c>
    </row>
    <row r="217" spans="2:9" ht="18.75" x14ac:dyDescent="0.3">
      <c r="B217" s="70">
        <v>214</v>
      </c>
      <c r="C217" s="70">
        <v>17021</v>
      </c>
      <c r="D217" s="71" t="s">
        <v>501</v>
      </c>
      <c r="E217" s="70" t="s">
        <v>502</v>
      </c>
      <c r="F217" s="70" t="s">
        <v>462</v>
      </c>
      <c r="G217" s="70" t="s">
        <v>55</v>
      </c>
      <c r="H217" s="70">
        <v>1</v>
      </c>
      <c r="I217" s="70">
        <v>1</v>
      </c>
    </row>
    <row r="218" spans="2:9" ht="18.75" x14ac:dyDescent="0.3">
      <c r="B218" s="70">
        <v>215</v>
      </c>
      <c r="C218" s="70">
        <v>17022</v>
      </c>
      <c r="D218" s="71" t="s">
        <v>503</v>
      </c>
      <c r="E218" s="70" t="s">
        <v>504</v>
      </c>
      <c r="F218" s="70" t="s">
        <v>462</v>
      </c>
      <c r="G218" s="70" t="s">
        <v>55</v>
      </c>
      <c r="H218" s="70">
        <v>1</v>
      </c>
      <c r="I218" s="70">
        <v>1</v>
      </c>
    </row>
    <row r="219" spans="2:9" ht="18.75" x14ac:dyDescent="0.3">
      <c r="B219" s="70">
        <v>216</v>
      </c>
      <c r="C219" s="70">
        <v>17023</v>
      </c>
      <c r="D219" s="71" t="s">
        <v>505</v>
      </c>
      <c r="E219" s="70" t="s">
        <v>506</v>
      </c>
      <c r="F219" s="70" t="s">
        <v>462</v>
      </c>
      <c r="G219" s="70" t="s">
        <v>55</v>
      </c>
      <c r="H219" s="70">
        <v>1</v>
      </c>
      <c r="I219" s="70">
        <v>1</v>
      </c>
    </row>
    <row r="220" spans="2:9" ht="18.75" x14ac:dyDescent="0.3">
      <c r="B220" s="70">
        <v>217</v>
      </c>
      <c r="C220" s="70">
        <v>17024</v>
      </c>
      <c r="D220" s="71" t="s">
        <v>507</v>
      </c>
      <c r="E220" s="70" t="s">
        <v>508</v>
      </c>
      <c r="F220" s="70" t="s">
        <v>462</v>
      </c>
      <c r="G220" s="70" t="s">
        <v>55</v>
      </c>
      <c r="H220" s="70">
        <v>1</v>
      </c>
      <c r="I220" s="70">
        <v>1</v>
      </c>
    </row>
    <row r="221" spans="2:9" ht="18.75" x14ac:dyDescent="0.3">
      <c r="B221" s="70">
        <v>218</v>
      </c>
      <c r="C221" s="70">
        <v>17025</v>
      </c>
      <c r="D221" s="71" t="s">
        <v>509</v>
      </c>
      <c r="E221" s="70" t="s">
        <v>510</v>
      </c>
      <c r="F221" s="70" t="s">
        <v>462</v>
      </c>
      <c r="G221" s="70" t="s">
        <v>55</v>
      </c>
      <c r="H221" s="70">
        <v>1</v>
      </c>
      <c r="I221" s="70">
        <v>1</v>
      </c>
    </row>
    <row r="222" spans="2:9" ht="18.75" x14ac:dyDescent="0.3">
      <c r="B222" s="70">
        <v>219</v>
      </c>
      <c r="C222" s="70">
        <v>17026</v>
      </c>
      <c r="D222" s="71" t="s">
        <v>511</v>
      </c>
      <c r="E222" s="70" t="s">
        <v>512</v>
      </c>
      <c r="F222" s="70" t="s">
        <v>462</v>
      </c>
      <c r="G222" s="70" t="s">
        <v>55</v>
      </c>
      <c r="H222" s="70">
        <v>1</v>
      </c>
      <c r="I222" s="70">
        <v>1</v>
      </c>
    </row>
    <row r="223" spans="2:9" ht="18.75" x14ac:dyDescent="0.3">
      <c r="B223" s="70">
        <v>220</v>
      </c>
      <c r="C223" s="70">
        <v>17027</v>
      </c>
      <c r="D223" s="71" t="s">
        <v>513</v>
      </c>
      <c r="E223" s="70" t="s">
        <v>514</v>
      </c>
      <c r="F223" s="70" t="s">
        <v>462</v>
      </c>
      <c r="G223" s="70" t="s">
        <v>55</v>
      </c>
      <c r="H223" s="70">
        <v>1</v>
      </c>
      <c r="I223" s="70">
        <v>1</v>
      </c>
    </row>
    <row r="224" spans="2:9" ht="18.75" x14ac:dyDescent="0.3">
      <c r="B224" s="70">
        <v>221</v>
      </c>
      <c r="C224" s="70">
        <v>17028</v>
      </c>
      <c r="D224" s="71" t="s">
        <v>515</v>
      </c>
      <c r="E224" s="70" t="s">
        <v>516</v>
      </c>
      <c r="F224" s="70" t="s">
        <v>462</v>
      </c>
      <c r="G224" s="70" t="s">
        <v>55</v>
      </c>
      <c r="H224" s="70">
        <v>1</v>
      </c>
      <c r="I224" s="70">
        <v>1</v>
      </c>
    </row>
    <row r="225" spans="2:9" ht="18.75" x14ac:dyDescent="0.3">
      <c r="B225" s="70">
        <v>222</v>
      </c>
      <c r="C225" s="70">
        <v>17029</v>
      </c>
      <c r="D225" s="71" t="s">
        <v>517</v>
      </c>
      <c r="E225" s="70" t="s">
        <v>518</v>
      </c>
      <c r="F225" s="70" t="s">
        <v>462</v>
      </c>
      <c r="G225" s="70" t="s">
        <v>55</v>
      </c>
      <c r="H225" s="70">
        <v>1</v>
      </c>
      <c r="I225" s="70">
        <v>1</v>
      </c>
    </row>
    <row r="226" spans="2:9" ht="18.75" x14ac:dyDescent="0.3">
      <c r="B226" s="70">
        <v>223</v>
      </c>
      <c r="C226" s="70">
        <v>17030</v>
      </c>
      <c r="D226" s="71" t="s">
        <v>519</v>
      </c>
      <c r="E226" s="70" t="s">
        <v>520</v>
      </c>
      <c r="F226" s="70" t="s">
        <v>462</v>
      </c>
      <c r="G226" s="70" t="s">
        <v>55</v>
      </c>
      <c r="H226" s="70">
        <v>1</v>
      </c>
      <c r="I226" s="70">
        <v>1</v>
      </c>
    </row>
    <row r="227" spans="2:9" ht="18.75" x14ac:dyDescent="0.3">
      <c r="B227" s="70">
        <v>224</v>
      </c>
      <c r="C227" s="70">
        <v>17031</v>
      </c>
      <c r="D227" s="71" t="s">
        <v>521</v>
      </c>
      <c r="E227" s="70" t="s">
        <v>522</v>
      </c>
      <c r="F227" s="70" t="s">
        <v>462</v>
      </c>
      <c r="G227" s="70" t="s">
        <v>55</v>
      </c>
      <c r="H227" s="70">
        <v>1</v>
      </c>
      <c r="I227" s="70">
        <v>1</v>
      </c>
    </row>
    <row r="228" spans="2:9" ht="18.75" x14ac:dyDescent="0.3">
      <c r="B228" s="70">
        <v>225</v>
      </c>
      <c r="C228" s="70">
        <v>17032</v>
      </c>
      <c r="D228" s="71" t="s">
        <v>523</v>
      </c>
      <c r="E228" s="70" t="s">
        <v>524</v>
      </c>
      <c r="F228" s="70" t="s">
        <v>462</v>
      </c>
      <c r="G228" s="70" t="s">
        <v>55</v>
      </c>
      <c r="H228" s="70">
        <v>1</v>
      </c>
      <c r="I228" s="70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5" t="s">
        <v>15</v>
      </c>
      <c r="B1" s="85" t="s">
        <v>23</v>
      </c>
      <c r="C1" s="85" t="s">
        <v>16</v>
      </c>
      <c r="D1" s="85" t="s">
        <v>17</v>
      </c>
      <c r="E1" s="85" t="s">
        <v>18</v>
      </c>
      <c r="F1" s="85" t="s">
        <v>44</v>
      </c>
      <c r="G1" s="85" t="s">
        <v>19</v>
      </c>
      <c r="H1" s="85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5"/>
      <c r="B2" s="85"/>
      <c r="C2" s="85"/>
      <c r="D2" s="85"/>
      <c r="E2" s="85"/>
      <c r="F2" s="85"/>
      <c r="G2" s="85"/>
      <c r="H2" s="85"/>
      <c r="I2" s="38" t="str">
        <f>INDEX(SOAL!$K:$K,I1+2)</f>
        <v>X</v>
      </c>
      <c r="J2" s="38" t="str">
        <f>INDEX(SOAL!$K:$K,J1+2)</f>
        <v>B</v>
      </c>
      <c r="K2" s="38" t="str">
        <f>INDEX(SOAL!$K:$K,K1+2)</f>
        <v>A</v>
      </c>
      <c r="L2" s="38" t="str">
        <f>INDEX(SOAL!$K:$K,L1+2)</f>
        <v>C</v>
      </c>
      <c r="M2" s="38" t="str">
        <f>INDEX(SOAL!$K:$K,M1+2)</f>
        <v>D</v>
      </c>
      <c r="N2" s="38" t="str">
        <f>INDEX(SOAL!$K:$K,N1+2)</f>
        <v>A</v>
      </c>
      <c r="O2" s="38" t="str">
        <f>INDEX(SOAL!$K:$K,O1+2)</f>
        <v>E</v>
      </c>
      <c r="P2" s="38" t="str">
        <f>INDEX(SOAL!$K:$K,P1+2)</f>
        <v>A</v>
      </c>
      <c r="Q2" s="38" t="str">
        <f>INDEX(SOAL!$K:$K,Q1+2)</f>
        <v>D</v>
      </c>
      <c r="R2" s="38" t="str">
        <f>INDEX(SOAL!$K:$K,R1+2)</f>
        <v>C</v>
      </c>
      <c r="S2" s="38" t="str">
        <f>INDEX(SOAL!$K:$K,S1+2)</f>
        <v>A</v>
      </c>
      <c r="T2" s="38" t="str">
        <f>INDEX(SOAL!$K:$K,T1+2)</f>
        <v>A</v>
      </c>
      <c r="U2" s="38" t="str">
        <f>INDEX(SOAL!$K:$K,U1+2)</f>
        <v>E</v>
      </c>
      <c r="V2" s="38" t="str">
        <f>INDEX(SOAL!$K:$K,V1+2)</f>
        <v>D</v>
      </c>
      <c r="W2" s="38" t="str">
        <f>INDEX(SOAL!$K:$K,W1+2)</f>
        <v>C</v>
      </c>
      <c r="X2" s="38" t="str">
        <f>INDEX(SOAL!$K:$K,X1+2)</f>
        <v>A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Xenophon</v>
      </c>
      <c r="AK2" s="38" t="str">
        <f>INDEX(SOAL!$K:$K,AK1+2)</f>
        <v>Adam Smith</v>
      </c>
      <c r="AL2" s="38" t="str">
        <f>INDEX(SOAL!$K:$K,AL1+2)</f>
        <v>Literasi keuangan</v>
      </c>
      <c r="AM2" s="38" t="str">
        <f>INDEX(SOAL!$K:$K,AM1+2)</f>
        <v>Sufficient literate</v>
      </c>
      <c r="AN2" s="38" t="str">
        <f>INDEX(SOAL!$K:$K,AN1+2)</f>
        <v>Sumber daya manusia (SDM) ahli di bidang tersebut</v>
      </c>
      <c r="AO2" s="38" t="str">
        <f>INDEX(SOAL!$K:$K,AO1+2)</f>
        <v>S</v>
      </c>
      <c r="AP2" s="38" t="str">
        <f>INDEX(SOAL!$K:$K,AP1+2)</f>
        <v>S</v>
      </c>
      <c r="AQ2" s="38" t="str">
        <f>INDEX(SOAL!$K:$K,AQ1+2)</f>
        <v>B</v>
      </c>
      <c r="AR2" s="38" t="str">
        <f>INDEX(SOAL!$K:$K,AR1+2)</f>
        <v>S</v>
      </c>
      <c r="AS2" s="38" t="str">
        <f>INDEX(SOAL!$K:$K,AS1+2)</f>
        <v>B</v>
      </c>
      <c r="AT2" s="38" t="str">
        <f>INDEX(SOAL!$K:$K,AT1+2)</f>
        <v>B</v>
      </c>
      <c r="AU2" s="38">
        <f>INDEX(SOAL!$K:$K,AU1+2)</f>
        <v>0</v>
      </c>
      <c r="AV2" s="38" t="str">
        <f>INDEX(SOAL!$K:$K,AV1+2)</f>
        <v>B</v>
      </c>
      <c r="AW2" s="38">
        <f>INDEX(SOAL!$K:$K,AW1+2)</f>
        <v>0</v>
      </c>
      <c r="AX2" s="38" t="str">
        <f>INDEX(SOAL!$K:$K,AX1+2)</f>
        <v>B</v>
      </c>
      <c r="AY2" s="38" t="str">
        <f>INDEX(SOAL!$K:$K,AY1+2)</f>
        <v>B</v>
      </c>
      <c r="AZ2" s="38" t="str">
        <f>INDEX(SOAL!$K:$K,AZ1+2)</f>
        <v>B</v>
      </c>
      <c r="BA2" s="38">
        <f>INDEX(SOAL!$K:$K,BA1+2)</f>
        <v>0</v>
      </c>
      <c r="BB2" s="38" t="str">
        <f>INDEX(SOAL!$K:$K,BB1+2)</f>
        <v>B</v>
      </c>
      <c r="BC2" s="38">
        <f>INDEX(SOAL!$K:$K,BC1+2)</f>
        <v>0</v>
      </c>
      <c r="BD2" s="38" t="str">
        <f>INDEX(SOAL!$K:$K,BD1+2)</f>
        <v>B</v>
      </c>
      <c r="BE2" s="38">
        <f>INDEX(SOAL!$K:$K,BE1+2)</f>
        <v>0</v>
      </c>
      <c r="BF2" s="38">
        <f>INDEX(SOAL!$K:$K,BF1+2)</f>
        <v>0</v>
      </c>
      <c r="BG2" s="38" t="str">
        <f>INDEX(SOAL!$K:$K,BG1+2)</f>
        <v>B</v>
      </c>
      <c r="BH2" s="38" t="str">
        <f>INDEX(SOAL!$K:$K,BH1+2)</f>
        <v>B</v>
      </c>
      <c r="BI2" s="38" t="str">
        <f>INDEX(SOAL!$K:$K,BI1+2)</f>
        <v>B</v>
      </c>
      <c r="BJ2" s="38" t="str">
        <f>INDEX(SOAL!$K:$K,BJ1+2)</f>
        <v>B</v>
      </c>
      <c r="BK2" s="38">
        <f>INDEX(SOAL!$K:$K,BK1+2)</f>
        <v>0</v>
      </c>
      <c r="BL2" s="38">
        <f>INDEX(SOAL!$K:$K,BL1+2)</f>
        <v>0</v>
      </c>
      <c r="BM2" s="38" t="str">
        <f>INDEX(SOAL!$K:$K,BM1+2)</f>
        <v>B</v>
      </c>
      <c r="BN2" s="38" t="str">
        <f>INDEX(SOAL!$K:$K,BN1+2)</f>
        <v>B</v>
      </c>
      <c r="BO2" s="38" t="str">
        <f>INDEX(SOAL!$K:$K,BO1+2)</f>
        <v>B</v>
      </c>
      <c r="BP2" s="38">
        <f>INDEX(SOAL!$K:$K,BP1+2)</f>
        <v>0</v>
      </c>
      <c r="BQ2" s="38" t="str">
        <f>INDEX(SOAL!$K:$K,BQ1+2)</f>
        <v>B</v>
      </c>
      <c r="BR2" s="38">
        <f>INDEX(SOAL!$K:$K,BR1+2)</f>
        <v>0</v>
      </c>
      <c r="BS2" s="38" t="str">
        <f>INDEX(SOAL!$K:$K,BS1+2)</f>
        <v>B</v>
      </c>
      <c r="BT2" s="38">
        <f>INDEX(SOAL!$K:$K,BT1+2)</f>
        <v>0</v>
      </c>
      <c r="BU2" s="38" t="str">
        <f>INDEX(SOAL!$K:$K,BU1+2)</f>
        <v>B</v>
      </c>
      <c r="BV2" s="38" t="str">
        <f>INDEX(SOAL!$K:$K,BV1+2)</f>
        <v>B</v>
      </c>
      <c r="BW2" s="38">
        <f>INDEX(SOAL!$K:$K,BW1+2)</f>
        <v>0</v>
      </c>
      <c r="BX2" s="38" t="str">
        <f>INDEX(SOAL!$K:$K,BX1+2)</f>
        <v>B</v>
      </c>
      <c r="BY2" s="38" t="str">
        <f>INDEX(SOAL!$K:$K,BY1+2)</f>
        <v>B</v>
      </c>
      <c r="BZ2" s="38">
        <f>INDEX(SOAL!$K:$K,BZ1+2)</f>
        <v>0</v>
      </c>
      <c r="CA2" s="38">
        <f>INDEX(SOAL!$K:$K,CA1+2)</f>
        <v>0</v>
      </c>
      <c r="CB2" s="38">
        <f>INDEX(SOAL!$K:$K,CB1+2)</f>
        <v>0</v>
      </c>
      <c r="CC2" s="38">
        <f>INDEX(SOAL!$K:$K,CC1+2)</f>
        <v>0</v>
      </c>
      <c r="CD2" s="38" t="str">
        <f>INDEX(SOAL!$K:$K,CD1+2)</f>
        <v>B</v>
      </c>
      <c r="CE2" s="38">
        <f>INDEX(SOAL!$K:$K,CE1+2)</f>
        <v>0</v>
      </c>
      <c r="CF2" s="38">
        <f>INDEX(SOAL!$K:$K,CF1+2)</f>
        <v>0</v>
      </c>
      <c r="CG2" s="38" t="str">
        <f>INDEX(SOAL!$K:$K,CG1+2)</f>
        <v>B</v>
      </c>
      <c r="CH2" s="38" t="str">
        <f>INDEX(SOAL!$K:$K,CH1+2)</f>
        <v>B</v>
      </c>
      <c r="CI2" s="38" t="str">
        <f>INDEX(SOAL!$K:$K,CI1+2)</f>
        <v>B</v>
      </c>
      <c r="CJ2" s="38" t="str">
        <f>INDEX(SOAL!$K:$K,CJ1+2)</f>
        <v>B</v>
      </c>
      <c r="CK2" s="38">
        <f>INDEX(SOAL!$K:$K,CK1+2)</f>
        <v>0</v>
      </c>
      <c r="CL2" s="38" t="str">
        <f>INDEX(SOAL!$K:$K,CL1+2)</f>
        <v>B</v>
      </c>
      <c r="CM2" s="38" t="str">
        <f>INDEX(SOAL!$K:$K,CM1+2)</f>
        <v>B</v>
      </c>
      <c r="CN2" s="38" t="str">
        <f>INDEX(SOAL!$K:$K,CN1+2)</f>
        <v>B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 t="str">
        <f>INDEX(SOAL!$K:$K,CR1+2)</f>
        <v>E</v>
      </c>
      <c r="CS2" s="38" t="str">
        <f>INDEX(SOAL!$K:$K,CS1+2)</f>
        <v>F</v>
      </c>
      <c r="CT2" s="38" t="str">
        <f>INDEX(SOAL!$K:$K,CT1+2)</f>
        <v>D</v>
      </c>
      <c r="CU2" s="38" t="str">
        <f>INDEX(SOAL!$K:$K,CU1+2)</f>
        <v>B</v>
      </c>
      <c r="CV2" s="38" t="str">
        <f>INDEX(SOAL!$K:$K,CV1+2)</f>
        <v>A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2025-09-24T01:12:28Z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